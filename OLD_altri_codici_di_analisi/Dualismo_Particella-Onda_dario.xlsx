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ce\Desktop\Esperienza_Laboratorio_DOP\Analisi_Dati_DOP\"/>
    </mc:Choice>
  </mc:AlternateContent>
  <xr:revisionPtr revIDLastSave="0" documentId="13_ncr:1_{16E8F534-BDDF-4BCB-A89F-3F76E1C7AD39}" xr6:coauthVersionLast="47" xr6:coauthVersionMax="47" xr10:uidLastSave="{00000000-0000-0000-0000-000000000000}"/>
  <bookViews>
    <workbookView xWindow="-108" yWindow="-108" windowWidth="23256" windowHeight="12456" activeTab="1" xr2:uid="{506A3D08-F08A-1E43-B450-3F1A0734760D}"/>
  </bookViews>
  <sheets>
    <sheet name="1° PARTE" sheetId="1" r:id="rId1"/>
    <sheet name="OBSOLETO_2° PART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2" i="3" l="1"/>
  <c r="F3" i="3"/>
  <c r="BL12" i="3"/>
  <c r="BJ12" i="3"/>
  <c r="BH12" i="3"/>
  <c r="E3" i="3"/>
  <c r="D3" i="3"/>
  <c r="C3" i="3"/>
  <c r="B3" i="3"/>
  <c r="A3" i="3"/>
  <c r="S25" i="1"/>
  <c r="BH4" i="3"/>
  <c r="BH3" i="3"/>
  <c r="BO24" i="3"/>
  <c r="AI24" i="3"/>
  <c r="AJ24" i="3" s="1"/>
  <c r="Q14" i="1"/>
  <c r="O27" i="1"/>
  <c r="U27" i="1"/>
  <c r="U24" i="1"/>
  <c r="R25" i="1"/>
  <c r="R14" i="1"/>
  <c r="Q25" i="1"/>
  <c r="P25" i="1"/>
  <c r="N27" i="1"/>
  <c r="N25" i="1"/>
  <c r="N29" i="1"/>
  <c r="O25" i="1"/>
  <c r="O14" i="1"/>
  <c r="U5" i="1"/>
  <c r="BN39" i="3"/>
  <c r="BO39" i="3" s="1"/>
  <c r="BN36" i="3"/>
  <c r="BO36" i="3" s="1"/>
  <c r="BN37" i="3"/>
  <c r="BO37" i="3" s="1"/>
  <c r="BN38" i="3"/>
  <c r="BO38" i="3" s="1"/>
  <c r="BN35" i="3"/>
  <c r="BO35" i="3" s="1"/>
  <c r="BM36" i="3"/>
  <c r="BM37" i="3"/>
  <c r="BM38" i="3"/>
  <c r="BM39" i="3"/>
  <c r="BM35" i="3"/>
  <c r="BL36" i="3"/>
  <c r="BL37" i="3"/>
  <c r="BL38" i="3"/>
  <c r="BL39" i="3"/>
  <c r="BL35" i="3"/>
  <c r="BM3" i="3"/>
  <c r="BM4" i="3"/>
  <c r="BM5" i="3"/>
  <c r="BM6" i="3"/>
  <c r="BM7" i="3"/>
  <c r="BQ27" i="3"/>
  <c r="BR27" i="3"/>
  <c r="BL27" i="3"/>
  <c r="BR26" i="3"/>
  <c r="BQ26" i="3"/>
  <c r="BL26" i="3"/>
  <c r="BR25" i="3"/>
  <c r="BQ25" i="3"/>
  <c r="BL25" i="3"/>
  <c r="BR24" i="3"/>
  <c r="BQ24" i="3"/>
  <c r="BL24" i="3"/>
  <c r="BR23" i="3"/>
  <c r="BQ23" i="3"/>
  <c r="BL23" i="3"/>
  <c r="BB24" i="3"/>
  <c r="BB25" i="3"/>
  <c r="BB26" i="3"/>
  <c r="BB27" i="3"/>
  <c r="BB28" i="3"/>
  <c r="BB29" i="3"/>
  <c r="BB23" i="3"/>
  <c r="BA24" i="3"/>
  <c r="BA25" i="3"/>
  <c r="BA26" i="3"/>
  <c r="BA27" i="3"/>
  <c r="BA28" i="3"/>
  <c r="BA29" i="3"/>
  <c r="BA23" i="3"/>
  <c r="AV29" i="3"/>
  <c r="AV24" i="3"/>
  <c r="AV25" i="3"/>
  <c r="AV26" i="3"/>
  <c r="AV27" i="3"/>
  <c r="AV28" i="3"/>
  <c r="AV23" i="3"/>
  <c r="AL25" i="3"/>
  <c r="AL26" i="3"/>
  <c r="AL27" i="3"/>
  <c r="AL28" i="3"/>
  <c r="AL29" i="3"/>
  <c r="AL24" i="3"/>
  <c r="AK25" i="3"/>
  <c r="AK26" i="3"/>
  <c r="AK27" i="3"/>
  <c r="AK28" i="3"/>
  <c r="AK29" i="3"/>
  <c r="AK24" i="3"/>
  <c r="AF25" i="3"/>
  <c r="AF26" i="3"/>
  <c r="AF27" i="3"/>
  <c r="AF28" i="3"/>
  <c r="AF29" i="3"/>
  <c r="AF24" i="3"/>
  <c r="K3" i="1"/>
  <c r="U13" i="1"/>
  <c r="U16" i="1"/>
  <c r="G14" i="1"/>
  <c r="K14" i="1" s="1"/>
  <c r="AD3" i="3"/>
  <c r="K3" i="3"/>
  <c r="AS3" i="3"/>
  <c r="K4" i="1"/>
  <c r="K5" i="1"/>
  <c r="K6" i="1"/>
  <c r="K7" i="1"/>
  <c r="K8" i="1"/>
  <c r="AX8" i="3"/>
  <c r="AX9" i="3"/>
  <c r="AX4" i="3"/>
  <c r="AX5" i="3"/>
  <c r="AX6" i="3"/>
  <c r="AX7" i="3"/>
  <c r="AX3" i="3"/>
  <c r="AW9" i="3"/>
  <c r="AW8" i="3"/>
  <c r="AW4" i="3"/>
  <c r="AW5" i="3"/>
  <c r="AW6" i="3"/>
  <c r="AW7" i="3"/>
  <c r="AW3" i="3"/>
  <c r="AH4" i="3"/>
  <c r="AH5" i="3"/>
  <c r="AH6" i="3"/>
  <c r="AH7" i="3"/>
  <c r="AH8" i="3"/>
  <c r="AH3" i="3"/>
  <c r="AG8" i="3"/>
  <c r="AG4" i="3"/>
  <c r="AG5" i="3"/>
  <c r="AG6" i="3"/>
  <c r="AG7" i="3"/>
  <c r="AG3" i="3"/>
  <c r="BN4" i="3"/>
  <c r="BN5" i="3"/>
  <c r="BN6" i="3"/>
  <c r="BN7" i="3"/>
  <c r="BN3" i="3"/>
  <c r="BK7" i="3"/>
  <c r="BK6" i="3"/>
  <c r="BK5" i="3"/>
  <c r="BK4" i="3"/>
  <c r="BK3" i="3"/>
  <c r="BJ7" i="3"/>
  <c r="BJ6" i="3"/>
  <c r="BJ5" i="3"/>
  <c r="BJ4" i="3"/>
  <c r="BJ3" i="3"/>
  <c r="AT3" i="3"/>
  <c r="BI7" i="3"/>
  <c r="BI6" i="3"/>
  <c r="BI5" i="3"/>
  <c r="BI4" i="3"/>
  <c r="BI3" i="3"/>
  <c r="BH7" i="3"/>
  <c r="BH6" i="3"/>
  <c r="BH5" i="3"/>
  <c r="AR3" i="3"/>
  <c r="AR4" i="3"/>
  <c r="AR5" i="3"/>
  <c r="AR6" i="3"/>
  <c r="AR7" i="3"/>
  <c r="AR8" i="3"/>
  <c r="AS8" i="3"/>
  <c r="AT8" i="3"/>
  <c r="AU8" i="3"/>
  <c r="AR9" i="3"/>
  <c r="AS9" i="3"/>
  <c r="AT9" i="3"/>
  <c r="AU9" i="3"/>
  <c r="AU7" i="3"/>
  <c r="AU6" i="3"/>
  <c r="AU5" i="3"/>
  <c r="AU4" i="3"/>
  <c r="AU3" i="3"/>
  <c r="AT7" i="3"/>
  <c r="AT6" i="3"/>
  <c r="AT5" i="3"/>
  <c r="AT4" i="3"/>
  <c r="AS7" i="3"/>
  <c r="AS6" i="3"/>
  <c r="AS5" i="3"/>
  <c r="AS4" i="3"/>
  <c r="AB3" i="3"/>
  <c r="AB4" i="3"/>
  <c r="AB5" i="3"/>
  <c r="AB6" i="3"/>
  <c r="AB7" i="3"/>
  <c r="AB8" i="3"/>
  <c r="AC3" i="3"/>
  <c r="Q3" i="3"/>
  <c r="AE8" i="3"/>
  <c r="AE7" i="3"/>
  <c r="AE6" i="3"/>
  <c r="AE5" i="3"/>
  <c r="AE4" i="3"/>
  <c r="AE3" i="3"/>
  <c r="AD8" i="3"/>
  <c r="AD7" i="3"/>
  <c r="AD6" i="3"/>
  <c r="AD5" i="3"/>
  <c r="AD4" i="3"/>
  <c r="AC8" i="3"/>
  <c r="AC7" i="3"/>
  <c r="AC6" i="3"/>
  <c r="AC5" i="3"/>
  <c r="AC4" i="3"/>
  <c r="X7" i="3"/>
  <c r="X6" i="3"/>
  <c r="X5" i="3"/>
  <c r="X4" i="3"/>
  <c r="X3" i="3"/>
  <c r="W7" i="3"/>
  <c r="W6" i="3"/>
  <c r="W5" i="3"/>
  <c r="W4" i="3"/>
  <c r="W3" i="3"/>
  <c r="R9" i="3"/>
  <c r="R8" i="3"/>
  <c r="R7" i="3"/>
  <c r="R6" i="3"/>
  <c r="R5" i="3"/>
  <c r="R4" i="3"/>
  <c r="R3" i="3"/>
  <c r="Q9" i="3"/>
  <c r="Q8" i="3"/>
  <c r="Q7" i="3"/>
  <c r="Q6" i="3"/>
  <c r="Q5" i="3"/>
  <c r="Q4" i="3"/>
  <c r="L8" i="3"/>
  <c r="L7" i="3"/>
  <c r="L6" i="3"/>
  <c r="L5" i="3"/>
  <c r="L4" i="3"/>
  <c r="L3" i="3"/>
  <c r="K8" i="3"/>
  <c r="K7" i="3"/>
  <c r="K6" i="3"/>
  <c r="K5" i="3"/>
  <c r="K4" i="3"/>
  <c r="G3" i="3"/>
  <c r="U2" i="1"/>
  <c r="F42" i="1"/>
  <c r="F41" i="1"/>
  <c r="I41" i="1" s="1"/>
  <c r="O3" i="1" s="1"/>
  <c r="P14" i="1"/>
  <c r="N7" i="1"/>
  <c r="N18" i="1"/>
  <c r="J15" i="1"/>
  <c r="J16" i="1"/>
  <c r="J17" i="1"/>
  <c r="J18" i="1"/>
  <c r="J19" i="1"/>
  <c r="J20" i="1"/>
  <c r="J21" i="1"/>
  <c r="E21" i="1"/>
  <c r="I21" i="1" s="1"/>
  <c r="G21" i="1"/>
  <c r="K21" i="1" s="1"/>
  <c r="E20" i="1"/>
  <c r="I20" i="1" s="1"/>
  <c r="G20" i="1"/>
  <c r="K20" i="1" s="1"/>
  <c r="J14" i="1"/>
  <c r="E14" i="1"/>
  <c r="I14" i="1" s="1"/>
  <c r="E15" i="1"/>
  <c r="I15" i="1" s="1"/>
  <c r="G15" i="1"/>
  <c r="K15" i="1" s="1"/>
  <c r="E16" i="1"/>
  <c r="I16" i="1" s="1"/>
  <c r="G16" i="1"/>
  <c r="K16" i="1" s="1"/>
  <c r="E17" i="1"/>
  <c r="I17" i="1" s="1"/>
  <c r="G17" i="1"/>
  <c r="K17" i="1" s="1"/>
  <c r="E18" i="1"/>
  <c r="I18" i="1" s="1"/>
  <c r="G18" i="1"/>
  <c r="K18" i="1" s="1"/>
  <c r="E19" i="1"/>
  <c r="I19" i="1" s="1"/>
  <c r="G19" i="1"/>
  <c r="K19" i="1" s="1"/>
  <c r="P3" i="1"/>
  <c r="G4" i="1"/>
  <c r="G5" i="1"/>
  <c r="G6" i="1"/>
  <c r="G7" i="1"/>
  <c r="G8" i="1"/>
  <c r="G3" i="1"/>
  <c r="E4" i="1"/>
  <c r="I4" i="1" s="1"/>
  <c r="E5" i="1"/>
  <c r="I5" i="1" s="1"/>
  <c r="E6" i="1"/>
  <c r="I6" i="1" s="1"/>
  <c r="E7" i="1"/>
  <c r="I7" i="1" s="1"/>
  <c r="E8" i="1"/>
  <c r="I8" i="1" s="1"/>
  <c r="E3" i="1"/>
  <c r="I3" i="1" s="1"/>
  <c r="AV12" i="3" l="1"/>
  <c r="BA3" i="3" s="1"/>
  <c r="AK12" i="3"/>
  <c r="AM3" i="3" s="1"/>
  <c r="AG15" i="3"/>
  <c r="BB18" i="3"/>
  <c r="BO26" i="3"/>
  <c r="BP26" i="3" s="1"/>
  <c r="BM23" i="3"/>
  <c r="BN23" i="3" s="1"/>
  <c r="AG26" i="3"/>
  <c r="AH26" i="3" s="1"/>
  <c r="AW24" i="3"/>
  <c r="AW25" i="3"/>
  <c r="AW26" i="3"/>
  <c r="AW27" i="3"/>
  <c r="AW28" i="3"/>
  <c r="AW29" i="3"/>
  <c r="AW23" i="3"/>
  <c r="AG25" i="3"/>
  <c r="AH25" i="3" s="1"/>
  <c r="AG27" i="3"/>
  <c r="AH27" i="3" s="1"/>
  <c r="AG28" i="3"/>
  <c r="AH28" i="3" s="1"/>
  <c r="AG29" i="3"/>
  <c r="AH29" i="3" s="1"/>
  <c r="AG24" i="3"/>
  <c r="AH24" i="3" s="1"/>
  <c r="BO23" i="3"/>
  <c r="BP23" i="3" s="1"/>
  <c r="BM24" i="3"/>
  <c r="BN24" i="3" s="1"/>
  <c r="BM25" i="3"/>
  <c r="BN25" i="3" s="1"/>
  <c r="BM26" i="3"/>
  <c r="BN26" i="3" s="1"/>
  <c r="BM27" i="3"/>
  <c r="BN27" i="3" s="1"/>
  <c r="BO27" i="3"/>
  <c r="BP27" i="3" s="1"/>
  <c r="BO25" i="3"/>
  <c r="BP25" i="3" s="1"/>
  <c r="AY23" i="3"/>
  <c r="AZ23" i="3" s="1"/>
  <c r="AY24" i="3"/>
  <c r="AZ24" i="3" s="1"/>
  <c r="AY25" i="3"/>
  <c r="AZ25" i="3" s="1"/>
  <c r="AY26" i="3"/>
  <c r="AZ26" i="3" s="1"/>
  <c r="AY27" i="3"/>
  <c r="AZ27" i="3" s="1"/>
  <c r="AY28" i="3"/>
  <c r="AZ28" i="3" s="1"/>
  <c r="AY29" i="3"/>
  <c r="AZ29" i="3" s="1"/>
  <c r="AI25" i="3"/>
  <c r="AJ25" i="3" s="1"/>
  <c r="AI26" i="3"/>
  <c r="AJ26" i="3" s="1"/>
  <c r="AI27" i="3"/>
  <c r="AJ27" i="3" s="1"/>
  <c r="AI28" i="3"/>
  <c r="AJ28" i="3" s="1"/>
  <c r="AI29" i="3"/>
  <c r="AJ29" i="3" s="1"/>
  <c r="BI12" i="3"/>
  <c r="AB13" i="3"/>
  <c r="R27" i="1"/>
  <c r="BP24" i="3"/>
  <c r="AV13" i="3"/>
  <c r="BA4" i="3" s="1"/>
  <c r="BR15" i="3"/>
  <c r="BR13" i="3"/>
  <c r="BS16" i="3"/>
  <c r="AV16" i="3"/>
  <c r="BA7" i="3" s="1"/>
  <c r="AV17" i="3"/>
  <c r="BA8" i="3" s="1"/>
  <c r="AW15" i="3"/>
  <c r="AW13" i="3"/>
  <c r="AM16" i="3"/>
  <c r="AL15" i="3"/>
  <c r="AH13" i="3"/>
  <c r="AM15" i="3"/>
  <c r="AB15" i="3"/>
  <c r="AI6" i="3" s="1"/>
  <c r="AC13" i="3"/>
  <c r="AD13" i="3" s="1"/>
  <c r="AJ4" i="3" s="1"/>
  <c r="AC17" i="3"/>
  <c r="AD17" i="3" s="1"/>
  <c r="AJ8" i="3" s="1"/>
  <c r="BI13" i="3"/>
  <c r="BJ13" i="3" s="1"/>
  <c r="BP4" i="3" s="1"/>
  <c r="BP3" i="3"/>
  <c r="BO3" i="3"/>
  <c r="AR18" i="3"/>
  <c r="AY9" i="3" s="1"/>
  <c r="AS16" i="3"/>
  <c r="AT16" i="3" s="1"/>
  <c r="AZ7" i="3" s="1"/>
  <c r="AR14" i="3"/>
  <c r="AY5" i="3" s="1"/>
  <c r="BM12" i="3"/>
  <c r="AF16" i="3"/>
  <c r="AK7" i="3" s="1"/>
  <c r="AF15" i="3"/>
  <c r="AK6" i="3" s="1"/>
  <c r="BC13" i="3"/>
  <c r="AV18" i="3"/>
  <c r="BA9" i="3" s="1"/>
  <c r="BN13" i="3"/>
  <c r="BQ14" i="3"/>
  <c r="BS5" i="3" s="1"/>
  <c r="AM14" i="3"/>
  <c r="AF17" i="3"/>
  <c r="AK8" i="3" s="1"/>
  <c r="AG16" i="3"/>
  <c r="AH14" i="3"/>
  <c r="AL16" i="3"/>
  <c r="AL12" i="3"/>
  <c r="BB12" i="3"/>
  <c r="BB14" i="3"/>
  <c r="BB16" i="3"/>
  <c r="AH17" i="3"/>
  <c r="AH16" i="3"/>
  <c r="AI16" i="3" s="1"/>
  <c r="AL7" i="3" s="1"/>
  <c r="BC16" i="3"/>
  <c r="AR15" i="3"/>
  <c r="AY6" i="3" s="1"/>
  <c r="AS17" i="3"/>
  <c r="AT17" i="3" s="1"/>
  <c r="AZ8" i="3" s="1"/>
  <c r="AS13" i="3"/>
  <c r="AT13" i="3" s="1"/>
  <c r="AZ4" i="3" s="1"/>
  <c r="BL16" i="3"/>
  <c r="BQ7" i="3" s="1"/>
  <c r="BM13" i="3"/>
  <c r="BM15" i="3"/>
  <c r="BR16" i="3"/>
  <c r="AV14" i="3"/>
  <c r="BA5" i="3" s="1"/>
  <c r="BQ3" i="3"/>
  <c r="BS13" i="3"/>
  <c r="BC18" i="3"/>
  <c r="BH14" i="3"/>
  <c r="BO5" i="3" s="1"/>
  <c r="BI14" i="3"/>
  <c r="BJ14" i="3" s="1"/>
  <c r="BP5" i="3" s="1"/>
  <c r="AC12" i="3"/>
  <c r="AD12" i="3" s="1"/>
  <c r="AJ3" i="3" s="1"/>
  <c r="AC14" i="3"/>
  <c r="AD14" i="3" s="1"/>
  <c r="AJ5" i="3" s="1"/>
  <c r="AB16" i="3"/>
  <c r="AI7" i="3" s="1"/>
  <c r="AR12" i="3"/>
  <c r="AY3" i="3" s="1"/>
  <c r="AF12" i="3"/>
  <c r="AK3" i="3" s="1"/>
  <c r="AM12" i="3"/>
  <c r="AN12" i="3" s="1"/>
  <c r="AN3" i="3" s="1"/>
  <c r="AG12" i="3"/>
  <c r="AG14" i="3"/>
  <c r="AK16" i="3"/>
  <c r="AM7" i="3" s="1"/>
  <c r="AL14" i="3"/>
  <c r="BC12" i="3"/>
  <c r="BD12" i="3" s="1"/>
  <c r="BD3" i="3" s="1"/>
  <c r="BB13" i="3"/>
  <c r="BB15" i="3"/>
  <c r="AW17" i="3"/>
  <c r="AX12" i="3"/>
  <c r="AF13" i="3"/>
  <c r="AK4" i="3" s="1"/>
  <c r="AF14" i="3"/>
  <c r="AK5" i="3" s="1"/>
  <c r="BA14" i="3"/>
  <c r="BC5" i="3" s="1"/>
  <c r="AR17" i="3"/>
  <c r="AY8" i="3" s="1"/>
  <c r="AR13" i="3"/>
  <c r="AY4" i="3" s="1"/>
  <c r="AS15" i="3"/>
  <c r="AT15" i="3" s="1"/>
  <c r="AZ6" i="3" s="1"/>
  <c r="BR12" i="3"/>
  <c r="BM14" i="3"/>
  <c r="BM16" i="3"/>
  <c r="BN14" i="3"/>
  <c r="BQ15" i="3"/>
  <c r="BS6" i="3" s="1"/>
  <c r="AW18" i="3"/>
  <c r="BH16" i="3"/>
  <c r="BO7" i="3" s="1"/>
  <c r="BI16" i="3"/>
  <c r="BJ16" i="3" s="1"/>
  <c r="BP7" i="3" s="1"/>
  <c r="AS18" i="3"/>
  <c r="AC16" i="3"/>
  <c r="AD16" i="3" s="1"/>
  <c r="AJ7" i="3" s="1"/>
  <c r="AB14" i="3"/>
  <c r="AI5" i="3" s="1"/>
  <c r="AM13" i="3"/>
  <c r="AM17" i="3"/>
  <c r="AG17" i="3"/>
  <c r="AG13" i="3"/>
  <c r="AL17" i="3"/>
  <c r="AL13" i="3"/>
  <c r="AW12" i="3"/>
  <c r="AW14" i="3"/>
  <c r="AW16" i="3"/>
  <c r="BB17" i="3"/>
  <c r="AX17" i="3"/>
  <c r="BA15" i="3"/>
  <c r="BC6" i="3" s="1"/>
  <c r="AR16" i="3"/>
  <c r="AY7" i="3" s="1"/>
  <c r="AS12" i="3"/>
  <c r="AT12" i="3" s="1"/>
  <c r="AZ3" i="3" s="1"/>
  <c r="AS14" i="3"/>
  <c r="AT14" i="3" s="1"/>
  <c r="AZ5" i="3" s="1"/>
  <c r="BA12" i="3"/>
  <c r="BC3" i="3" s="1"/>
  <c r="BS12" i="3"/>
  <c r="BR14" i="3"/>
  <c r="BN16" i="3"/>
  <c r="BA18" i="3"/>
  <c r="BC9" i="3" s="1"/>
  <c r="BC17" i="3"/>
  <c r="AV15" i="3"/>
  <c r="BA6" i="3" s="1"/>
  <c r="BN15" i="3"/>
  <c r="BS3" i="3"/>
  <c r="BH15" i="3"/>
  <c r="BO6" i="3" s="1"/>
  <c r="BI15" i="3"/>
  <c r="BJ15" i="3" s="1"/>
  <c r="BP6" i="3" s="1"/>
  <c r="BH13" i="3"/>
  <c r="BO4" i="3" s="1"/>
  <c r="AC15" i="3"/>
  <c r="AD15" i="3" s="1"/>
  <c r="AJ6" i="3" s="1"/>
  <c r="AB17" i="3"/>
  <c r="AI8" i="3" s="1"/>
  <c r="AB28" i="3" s="1"/>
  <c r="AI4" i="3"/>
  <c r="AK14" i="3"/>
  <c r="AM5" i="3" s="1"/>
  <c r="AK15" i="3"/>
  <c r="AM6" i="3" s="1"/>
  <c r="BO15" i="3" s="1"/>
  <c r="BR6" i="3" s="1"/>
  <c r="AK17" i="3"/>
  <c r="AM8" i="3" s="1"/>
  <c r="AK13" i="3"/>
  <c r="AM4" i="3" s="1"/>
  <c r="BL14" i="3"/>
  <c r="BQ5" i="3" s="1"/>
  <c r="BT24" i="3" s="1"/>
  <c r="BH24" i="3" s="1"/>
  <c r="AX18" i="3"/>
  <c r="AY18" i="3" s="1"/>
  <c r="BB9" i="3" s="1"/>
  <c r="AH12" i="3"/>
  <c r="AI12" i="3" s="1"/>
  <c r="AL3" i="3" s="1"/>
  <c r="BN12" i="3"/>
  <c r="BS14" i="3"/>
  <c r="BL13" i="3"/>
  <c r="BQ4" i="3" s="1"/>
  <c r="BL15" i="3"/>
  <c r="BQ6" i="3" s="1"/>
  <c r="BT25" i="3" s="1"/>
  <c r="BH25" i="3" s="1"/>
  <c r="AX14" i="3"/>
  <c r="BQ13" i="3"/>
  <c r="BS4" i="3" s="1"/>
  <c r="BQ16" i="3"/>
  <c r="BS7" i="3" s="1"/>
  <c r="BS15" i="3"/>
  <c r="AH15" i="3"/>
  <c r="AI15" i="3" s="1"/>
  <c r="AL6" i="3" s="1"/>
  <c r="AX15" i="3"/>
  <c r="AX13" i="3"/>
  <c r="AX16" i="3"/>
  <c r="BA13" i="3"/>
  <c r="BC4" i="3" s="1"/>
  <c r="BA17" i="3"/>
  <c r="BC8" i="3" s="1"/>
  <c r="BA16" i="3"/>
  <c r="BC7" i="3" s="1"/>
  <c r="BC15" i="3"/>
  <c r="BC14" i="3"/>
  <c r="BD14" i="3" s="1"/>
  <c r="BD5" i="3" s="1"/>
  <c r="R3" i="1"/>
  <c r="R5" i="1"/>
  <c r="Q3" i="1"/>
  <c r="R16" i="1"/>
  <c r="I42" i="1"/>
  <c r="O5" i="1" s="1"/>
  <c r="O16" i="1" s="1"/>
  <c r="BT16" i="3" l="1"/>
  <c r="BT7" i="3" s="1"/>
  <c r="BO12" i="3"/>
  <c r="BT22" i="3"/>
  <c r="BD13" i="3"/>
  <c r="BD4" i="3" s="1"/>
  <c r="AN14" i="3"/>
  <c r="AN5" i="3" s="1"/>
  <c r="AI14" i="3"/>
  <c r="AL5" i="3" s="1"/>
  <c r="BD16" i="3"/>
  <c r="BD7" i="3" s="1"/>
  <c r="BD18" i="3"/>
  <c r="BD9" i="3" s="1"/>
  <c r="AR22" i="3"/>
  <c r="BO16" i="3"/>
  <c r="BR7" i="3" s="1"/>
  <c r="AY17" i="3"/>
  <c r="BB8" i="3" s="1"/>
  <c r="AY12" i="3"/>
  <c r="BB3" i="3" s="1"/>
  <c r="AN17" i="3"/>
  <c r="AN8" i="3" s="1"/>
  <c r="BD17" i="3"/>
  <c r="BD8" i="3" s="1"/>
  <c r="BT14" i="3"/>
  <c r="BT5" i="3" s="1"/>
  <c r="AY14" i="3"/>
  <c r="BB5" i="3" s="1"/>
  <c r="AY15" i="3"/>
  <c r="BB6" i="3" s="1"/>
  <c r="AY13" i="3"/>
  <c r="BB4" i="3" s="1"/>
  <c r="AY16" i="3"/>
  <c r="BB7" i="3" s="1"/>
  <c r="BD15" i="3"/>
  <c r="BD6" i="3" s="1"/>
  <c r="BT26" i="3"/>
  <c r="BH26" i="3" s="1"/>
  <c r="BT23" i="3"/>
  <c r="BH23" i="3" s="1"/>
  <c r="AB24" i="3"/>
  <c r="AC24" i="3"/>
  <c r="AB12" i="3" a="1"/>
  <c r="BH22" i="3"/>
  <c r="BJ22" i="3" s="1"/>
  <c r="BT13" i="3"/>
  <c r="BT4" i="3" s="1"/>
  <c r="BO14" i="3"/>
  <c r="BR5" i="3" s="1"/>
  <c r="BO13" i="3"/>
  <c r="BR4" i="3" s="1"/>
  <c r="AR27" i="3"/>
  <c r="AS27" i="3"/>
  <c r="AC28" i="3"/>
  <c r="AS26" i="3"/>
  <c r="AR26" i="3"/>
  <c r="AN13" i="3"/>
  <c r="AN4" i="3" s="1"/>
  <c r="AN16" i="3"/>
  <c r="AN7" i="3" s="1"/>
  <c r="BT12" i="3"/>
  <c r="BT3" i="3" s="1"/>
  <c r="AC25" i="3"/>
  <c r="AB25" i="3"/>
  <c r="AN15" i="3"/>
  <c r="AN6" i="3" s="1"/>
  <c r="AT18" i="3"/>
  <c r="AZ9" i="3" s="1"/>
  <c r="AB27" i="3"/>
  <c r="AC27" i="3"/>
  <c r="AS25" i="3"/>
  <c r="AR25" i="3"/>
  <c r="AR24" i="3"/>
  <c r="AS24" i="3"/>
  <c r="AC26" i="3"/>
  <c r="AB26" i="3"/>
  <c r="BT15" i="3"/>
  <c r="BT6" i="3" s="1"/>
  <c r="AR23" i="3"/>
  <c r="AS23" i="3"/>
  <c r="AS22" i="3"/>
  <c r="AI17" i="3"/>
  <c r="AL8" i="3" s="1"/>
  <c r="AI13" i="3"/>
  <c r="AL4" i="3" s="1"/>
  <c r="BR3" i="3"/>
  <c r="S14" i="1"/>
  <c r="S3" i="1"/>
  <c r="AX23" i="3"/>
  <c r="AX24" i="3"/>
  <c r="AX26" i="3"/>
  <c r="AX25" i="3"/>
  <c r="AX28" i="3"/>
  <c r="AX27" i="3"/>
  <c r="AX29" i="3"/>
  <c r="AB12" i="3" l="1"/>
  <c r="AI3" i="3" s="1"/>
  <c r="AC23" i="3" l="1"/>
  <c r="AB2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<sst xmlns="http://schemas.openxmlformats.org/spreadsheetml/2006/main" count="266" uniqueCount="117">
  <si>
    <t>1° SET</t>
  </si>
  <si>
    <t>ANALISI DATI</t>
  </si>
  <si>
    <t>e/m teorico</t>
  </si>
  <si>
    <t>Corrente [mA]</t>
  </si>
  <si>
    <t>d.d.p [V]</t>
  </si>
  <si>
    <t>Err corrente [mA]</t>
  </si>
  <si>
    <t>Err d.d.p [V]</t>
  </si>
  <si>
    <t>Corrente [A]</t>
  </si>
  <si>
    <t>Err corrente [A]</t>
  </si>
  <si>
    <t>Corrente^2 [A^2]</t>
  </si>
  <si>
    <t>Err Corrente^2 [A^2]</t>
  </si>
  <si>
    <t>Coefficiente Angolare [V/A^2]</t>
  </si>
  <si>
    <t>Raggio Circonferenza [m]</t>
  </si>
  <si>
    <t>B/I_H [T/A]</t>
  </si>
  <si>
    <t>e/m [C/kg]</t>
  </si>
  <si>
    <t>∂(e/m)/∂alfa</t>
  </si>
  <si>
    <t>Errore e/m [C/kg]</t>
  </si>
  <si>
    <t>Sigma Coeff. Angolare [V/A^2]</t>
  </si>
  <si>
    <t>Err Raggio [m]</t>
  </si>
  <si>
    <t>∂(e/m)/∂R</t>
  </si>
  <si>
    <t>Discrepanza Percentuale</t>
  </si>
  <si>
    <t>Errore Coeff. Angolare [V/A^2]</t>
  </si>
  <si>
    <t>2° SET</t>
  </si>
  <si>
    <t>∂(e/m)/alfa</t>
  </si>
  <si>
    <t>ANALISI DATI PYTHON</t>
  </si>
  <si>
    <t>Fit sulla Circonferenza</t>
  </si>
  <si>
    <t>Equazione: y=A-sqrt(-x^2+Bx+C)</t>
  </si>
  <si>
    <t>L</t>
  </si>
  <si>
    <t>yup​</t>
  </si>
  <si>
    <t>ydown​</t>
  </si>
  <si>
    <t>FIT</t>
  </si>
  <si>
    <t>Parametro</t>
  </si>
  <si>
    <t>Valore (yup​)</t>
  </si>
  <si>
    <t>Errore (yup​)</t>
  </si>
  <si>
    <t>Valore (ydown​)</t>
  </si>
  <si>
    <t>Errore (ydown​)</t>
  </si>
  <si>
    <t>A</t>
  </si>
  <si>
    <t>B</t>
  </si>
  <si>
    <t>C</t>
  </si>
  <si>
    <t>dove:</t>
  </si>
  <si>
    <t>R=sqrt(C+(B/2)^2)</t>
  </si>
  <si>
    <t>R_up</t>
  </si>
  <si>
    <t>R_medio</t>
  </si>
  <si>
    <t>R_down</t>
  </si>
  <si>
    <t>Err</t>
  </si>
  <si>
    <t>riferimenti desmos:</t>
  </si>
  <si>
    <t>https://www.desmos.com/calculator/vnor310apg</t>
  </si>
  <si>
    <t>maestro assoluto, bellissimo</t>
  </si>
  <si>
    <t>:-)</t>
  </si>
  <si>
    <t>NOTA: up e down rispetto alla curvatura indicano punti rispettivamente più vicini (bordo superiore del fascio) e più lontani al centro, per questo R_up&lt;R_down</t>
  </si>
  <si>
    <t>COSTANTI</t>
  </si>
  <si>
    <t>3° SET</t>
  </si>
  <si>
    <t>ANALISI DATI 1° SET</t>
  </si>
  <si>
    <t>ANALISI DATI 2° SET</t>
  </si>
  <si>
    <t>ANALISI DATI 3° SET</t>
  </si>
  <si>
    <t>h [J/s]</t>
  </si>
  <si>
    <t>m_e [kg]</t>
  </si>
  <si>
    <t>e [C]</t>
  </si>
  <si>
    <t>d_10 [m]</t>
  </si>
  <si>
    <t>D_11 [m]</t>
  </si>
  <si>
    <t>L [m]</t>
  </si>
  <si>
    <t>∆L [m]</t>
  </si>
  <si>
    <t>d.d.p [kV]</t>
  </si>
  <si>
    <t>Errore d.d.p [kV]</t>
  </si>
  <si>
    <t>R_10 [m]</t>
  </si>
  <si>
    <t>R_11 [m]</t>
  </si>
  <si>
    <t>Err R_10 [m]</t>
  </si>
  <si>
    <t>Err R_11 [m]</t>
  </si>
  <si>
    <t>err d.d.p [kV]</t>
  </si>
  <si>
    <t>λ_DB [nm]</t>
  </si>
  <si>
    <t>err λ_DB [nm]</t>
  </si>
  <si>
    <t>λ_10 [nm]</t>
  </si>
  <si>
    <t>err λ_10 [nm]</t>
  </si>
  <si>
    <t>λ_11 [nm]</t>
  </si>
  <si>
    <t>err λ_11 [nm]</t>
  </si>
  <si>
    <t>RAGGI DAL CODICE</t>
  </si>
  <si>
    <t>Voltaggio [V]</t>
  </si>
  <si>
    <t>Set</t>
  </si>
  <si>
    <t>R10 [mm]</t>
  </si>
  <si>
    <t>Err R10 [mm]</t>
  </si>
  <si>
    <t>R11 [mm]</t>
  </si>
  <si>
    <t>Err R11 [mm]</t>
  </si>
  <si>
    <t>c2</t>
  </si>
  <si>
    <t>λ_DB [m]</t>
  </si>
  <si>
    <t>∂λ/∂U</t>
  </si>
  <si>
    <t>Err λ_DB  [m]</t>
  </si>
  <si>
    <t>λ_10 [m]</t>
  </si>
  <si>
    <t>∂λ/∂R</t>
  </si>
  <si>
    <t>∂λ/∂L</t>
  </si>
  <si>
    <t>Err λ_10 [m]</t>
  </si>
  <si>
    <t>λ_11 [m]</t>
  </si>
  <si>
    <t>Err λ_11 [m]</t>
  </si>
  <si>
    <t>c1</t>
  </si>
  <si>
    <t>v</t>
  </si>
  <si>
    <t>Sfasamento? Secondo set</t>
  </si>
  <si>
    <t>RAGGI TEORICI</t>
  </si>
  <si>
    <t>RAGGI SPERIMENTALI</t>
  </si>
  <si>
    <t>Sfasamento? terzo set</t>
  </si>
  <si>
    <t>Medie lambda Bragg</t>
  </si>
  <si>
    <t>Sfasamento? Primo set</t>
  </si>
  <si>
    <t>R_10 [mm]</t>
  </si>
  <si>
    <t>R_11 [mm]</t>
  </si>
  <si>
    <t>R_10[mm]</t>
  </si>
  <si>
    <t xml:space="preserve">nota: c1 e c2 sono i primi due set presi da carmelo, v è il mio set. </t>
  </si>
  <si>
    <t>nuovi raggi</t>
  </si>
  <si>
    <t>Indice</t>
  </si>
  <si>
    <t>Valore</t>
  </si>
  <si>
    <t>vecchi raggi r10</t>
  </si>
  <si>
    <t>Controllo a cura di V.O.</t>
  </si>
  <si>
    <t>lambda mean</t>
  </si>
  <si>
    <t>diff</t>
  </si>
  <si>
    <t>potenziale che vorrei</t>
  </si>
  <si>
    <t>lambda app</t>
  </si>
  <si>
    <t>nuovi raggi r11</t>
  </si>
  <si>
    <t>ENNESIMI NUOVI RAGGI (28/03)</t>
  </si>
  <si>
    <t>R10</t>
  </si>
  <si>
    <t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</si>
</sst>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0000"/>
    <numFmt numFmtId="167" formatCode="0.000000E+00"/>
    <numFmt numFmtId="168" formatCode="0.00000E+00"/>
    <numFmt numFmtId="169" formatCode="0.000E+00"/>
    <numFmt numFmtId="170" formatCode="0.0000000E+00"/>
  </numFmts>
  <fonts count="1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2"/>
      <color rgb="FF1F1F1F"/>
      <name val="Google Sans Text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Google Sans Text"/>
      <family val="2"/>
      <charset val="1"/>
    </font>
    <font>
      <sz val="12"/>
      <color theme="1"/>
      <name val="Google Sans Text"/>
      <charset val="1"/>
    </font>
    <font>
      <sz val="12"/>
      <color rgb="FF1F1F1F"/>
      <name val="Google Sans Text"/>
      <charset val="1"/>
    </font>
    <font>
      <sz val="9"/>
      <color rgb="FFCCCCCC"/>
      <name val="Menlo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6" fontId="0" fillId="0" borderId="4" xfId="0" applyNumberFormat="1" applyBorder="1"/>
    <xf numFmtId="2" fontId="0" fillId="0" borderId="5" xfId="0" applyNumberFormat="1" applyBorder="1"/>
    <xf numFmtId="165" fontId="0" fillId="0" borderId="3" xfId="0" applyNumberFormat="1" applyBorder="1"/>
    <xf numFmtId="167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5" fillId="0" borderId="6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7" fillId="0" borderId="0" xfId="0" applyFont="1" applyAlignment="1">
      <alignment readingOrder="1"/>
    </xf>
    <xf numFmtId="9" fontId="0" fillId="0" borderId="0" xfId="1" applyFont="1"/>
    <xf numFmtId="0" fontId="0" fillId="0" borderId="7" xfId="0" applyBorder="1"/>
    <xf numFmtId="167" fontId="0" fillId="0" borderId="7" xfId="0" applyNumberFormat="1" applyBorder="1"/>
    <xf numFmtId="0" fontId="0" fillId="0" borderId="9" xfId="0" applyBorder="1"/>
    <xf numFmtId="4" fontId="0" fillId="0" borderId="9" xfId="0" applyNumberFormat="1" applyBorder="1"/>
    <xf numFmtId="0" fontId="0" fillId="0" borderId="8" xfId="0" applyBorder="1"/>
    <xf numFmtId="11" fontId="0" fillId="0" borderId="0" xfId="0" applyNumberFormat="1"/>
    <xf numFmtId="0" fontId="0" fillId="6" borderId="9" xfId="0" applyFill="1" applyBorder="1"/>
    <xf numFmtId="0" fontId="0" fillId="6" borderId="10" xfId="0" applyFill="1" applyBorder="1"/>
    <xf numFmtId="0" fontId="0" fillId="6" borderId="7" xfId="0" applyFill="1" applyBorder="1"/>
    <xf numFmtId="0" fontId="0" fillId="7" borderId="9" xfId="0" applyFill="1" applyBorder="1"/>
    <xf numFmtId="0" fontId="0" fillId="7" borderId="7" xfId="0" applyFill="1" applyBorder="1"/>
    <xf numFmtId="0" fontId="0" fillId="4" borderId="9" xfId="0" applyFill="1" applyBorder="1"/>
    <xf numFmtId="0" fontId="0" fillId="4" borderId="7" xfId="0" applyFill="1" applyBorder="1"/>
    <xf numFmtId="0" fontId="0" fillId="5" borderId="9" xfId="0" applyFill="1" applyBorder="1"/>
    <xf numFmtId="0" fontId="0" fillId="5" borderId="7" xfId="0" applyFill="1" applyBorder="1"/>
    <xf numFmtId="0" fontId="0" fillId="8" borderId="9" xfId="0" applyFill="1" applyBorder="1"/>
    <xf numFmtId="0" fontId="0" fillId="8" borderId="7" xfId="0" applyFill="1" applyBorder="1"/>
    <xf numFmtId="0" fontId="9" fillId="9" borderId="6" xfId="0" applyFont="1" applyFill="1" applyBorder="1" applyAlignment="1">
      <alignment readingOrder="1"/>
    </xf>
    <xf numFmtId="0" fontId="5" fillId="10" borderId="6" xfId="0" applyFont="1" applyFill="1" applyBorder="1" applyAlignment="1">
      <alignment readingOrder="1"/>
    </xf>
    <xf numFmtId="0" fontId="5" fillId="11" borderId="6" xfId="0" applyFont="1" applyFill="1" applyBorder="1" applyAlignment="1">
      <alignment readingOrder="1"/>
    </xf>
    <xf numFmtId="0" fontId="9" fillId="10" borderId="6" xfId="0" applyFont="1" applyFill="1" applyBorder="1" applyAlignment="1">
      <alignment readingOrder="1"/>
    </xf>
    <xf numFmtId="0" fontId="5" fillId="12" borderId="6" xfId="0" applyFont="1" applyFill="1" applyBorder="1" applyAlignment="1">
      <alignment readingOrder="1"/>
    </xf>
    <xf numFmtId="0" fontId="6" fillId="13" borderId="6" xfId="0" applyFont="1" applyFill="1" applyBorder="1" applyAlignment="1">
      <alignment readingOrder="1"/>
    </xf>
    <xf numFmtId="0" fontId="6" fillId="14" borderId="6" xfId="0" applyFont="1" applyFill="1" applyBorder="1" applyAlignment="1">
      <alignment readingOrder="1"/>
    </xf>
    <xf numFmtId="0" fontId="0" fillId="15" borderId="0" xfId="0" applyFill="1"/>
    <xf numFmtId="0" fontId="0" fillId="15" borderId="11" xfId="0" applyFill="1" applyBorder="1"/>
    <xf numFmtId="0" fontId="6" fillId="16" borderId="6" xfId="0" applyFont="1" applyFill="1" applyBorder="1" applyAlignment="1">
      <alignment readingOrder="1"/>
    </xf>
    <xf numFmtId="0" fontId="5" fillId="9" borderId="6" xfId="0" applyFont="1" applyFill="1" applyBorder="1" applyAlignment="1">
      <alignment readingOrder="1"/>
    </xf>
    <xf numFmtId="11" fontId="0" fillId="0" borderId="7" xfId="0" applyNumberFormat="1" applyBorder="1"/>
    <xf numFmtId="0" fontId="0" fillId="17" borderId="7" xfId="0" applyFill="1" applyBorder="1"/>
    <xf numFmtId="0" fontId="0" fillId="3" borderId="7" xfId="0" applyFill="1" applyBorder="1"/>
    <xf numFmtId="11" fontId="10" fillId="0" borderId="7" xfId="0" applyNumberFormat="1" applyFont="1" applyBorder="1"/>
    <xf numFmtId="0" fontId="10" fillId="0" borderId="7" xfId="0" applyFont="1" applyBorder="1"/>
    <xf numFmtId="2" fontId="0" fillId="0" borderId="7" xfId="0" applyNumberFormat="1" applyBorder="1"/>
    <xf numFmtId="165" fontId="0" fillId="0" borderId="7" xfId="0" applyNumberFormat="1" applyBorder="1"/>
    <xf numFmtId="0" fontId="0" fillId="0" borderId="14" xfId="0" applyBorder="1"/>
    <xf numFmtId="165" fontId="0" fillId="0" borderId="0" xfId="0" applyNumberFormat="1"/>
    <xf numFmtId="0" fontId="7" fillId="0" borderId="6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11" fillId="0" borderId="7" xfId="0" applyFont="1" applyBorder="1" applyAlignment="1">
      <alignment readingOrder="1"/>
    </xf>
    <xf numFmtId="0" fontId="11" fillId="19" borderId="7" xfId="0" applyFont="1" applyFill="1" applyBorder="1" applyAlignment="1">
      <alignment readingOrder="1"/>
    </xf>
    <xf numFmtId="0" fontId="11" fillId="10" borderId="7" xfId="0" applyFont="1" applyFill="1" applyBorder="1" applyAlignment="1">
      <alignment readingOrder="1"/>
    </xf>
    <xf numFmtId="0" fontId="11" fillId="11" borderId="7" xfId="0" applyFont="1" applyFill="1" applyBorder="1" applyAlignment="1">
      <alignment readingOrder="1"/>
    </xf>
    <xf numFmtId="166" fontId="0" fillId="0" borderId="7" xfId="0" applyNumberFormat="1" applyBorder="1"/>
    <xf numFmtId="0" fontId="0" fillId="20" borderId="7" xfId="0" applyFill="1" applyBorder="1"/>
    <xf numFmtId="0" fontId="0" fillId="10" borderId="1" xfId="0" applyFill="1" applyBorder="1"/>
    <xf numFmtId="0" fontId="0" fillId="18" borderId="14" xfId="0" applyFill="1" applyBorder="1"/>
    <xf numFmtId="0" fontId="0" fillId="19" borderId="14" xfId="0" applyFill="1" applyBorder="1"/>
    <xf numFmtId="0" fontId="0" fillId="18" borderId="7" xfId="0" applyFill="1" applyBorder="1"/>
    <xf numFmtId="0" fontId="0" fillId="19" borderId="7" xfId="0" applyFill="1" applyBorder="1"/>
    <xf numFmtId="0" fontId="0" fillId="10" borderId="2" xfId="0" applyFill="1" applyBorder="1"/>
    <xf numFmtId="0" fontId="0" fillId="20" borderId="8" xfId="0" applyFill="1" applyBorder="1"/>
    <xf numFmtId="0" fontId="0" fillId="22" borderId="7" xfId="0" applyFill="1" applyBorder="1"/>
    <xf numFmtId="0" fontId="0" fillId="11" borderId="7" xfId="0" applyFill="1" applyBorder="1"/>
    <xf numFmtId="0" fontId="0" fillId="15" borderId="7" xfId="0" applyFill="1" applyBorder="1"/>
    <xf numFmtId="0" fontId="0" fillId="23" borderId="7" xfId="0" applyFill="1" applyBorder="1"/>
    <xf numFmtId="165" fontId="0" fillId="0" borderId="9" xfId="0" applyNumberFormat="1" applyBorder="1"/>
    <xf numFmtId="169" fontId="0" fillId="0" borderId="7" xfId="0" applyNumberFormat="1" applyBorder="1"/>
    <xf numFmtId="168" fontId="0" fillId="0" borderId="0" xfId="0" applyNumberFormat="1"/>
    <xf numFmtId="0" fontId="12" fillId="0" borderId="0" xfId="0" applyFont="1"/>
    <xf numFmtId="0" fontId="4" fillId="0" borderId="0" xfId="3"/>
    <xf numFmtId="170" fontId="0" fillId="0" borderId="7" xfId="0" applyNumberForma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1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9" borderId="7" xfId="0" applyFill="1" applyBorder="1" applyAlignment="1">
      <alignment horizontal="center"/>
    </xf>
  </cellXfs>
  <cellStyles count="4">
    <cellStyle name="Collegamento ipertestuale" xfId="3" builtinId="8"/>
    <cellStyle name="Hyperlink" xfId="2" xr:uid="{00000000-000B-0000-0000-000008000000}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22</xdr:row>
      <xdr:rowOff>152400</xdr:rowOff>
    </xdr:from>
    <xdr:ext cx="6657975" cy="1933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419475" y="4552950"/>
              <a:ext cx="6657975" cy="19335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indent="0"/>
              <a:r>
                <a:rPr lang="ar-AE" sz="32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﷐𝑈﷮𝐴﷯=﷐𝑒﷮𝑚﷯ ﷐﷐𝐵﷮2﷯𝑅^2﷮2﷯= ﷐﷐﷐4,17 × ﷐10﷮−3﷯﷯﷮2﷯﷐𝑅﷮2﷯﷮2﷯ ﷐𝑒﷮𝑚﷯ ﷐𝐼﷮𝐻﷮2﷯</a:t>
              </a:r>
              <a:r>
                <a:rPr lang="ar-AE" sz="3200">
                  <a:solidFill>
                    <a:schemeClr val="tx1"/>
                  </a:solidFill>
                  <a:latin typeface="+mn-lt"/>
                  <a:ea typeface="+mn-lt"/>
                  <a:cs typeface="+mn-lt"/>
                </a:rPr>
                <a:t>  </a:t>
              </a:r>
            </a:p>
          </xdr:txBody>
        </xdr:sp>
      </mc:Choice>
      <mc:Fallback xmlns="">
        <xdr:sp macro="" textlink="">
          <xdr:nvSpPr>
            <xdr:cNvPr id="2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200400" y="4622800"/>
              <a:ext cx="6654800" cy="10287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it-IT" sz="3200" b="0" i="0">
                  <a:latin typeface="Cambria Math" panose="02040503050406030204" pitchFamily="18" charset="0"/>
                </a:rPr>
                <a:t>𝑈_𝐴=𝑒/𝑚   (𝐵^2 𝑅^2)/2=  ((4,17 × 10^(−3) )^2 𝑅^2)/2   𝑒/𝑚  𝐼_𝐻^2</a:t>
              </a:r>
              <a:r>
                <a:rPr lang="it-IT" sz="3200"/>
                <a:t>  </a:t>
              </a:r>
            </a:p>
          </xdr:txBody>
        </xdr:sp>
      </mc:Fallback>
    </mc:AlternateContent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5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esmos.com/calculator/vnor310a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02F6-2E8D-E24B-BDC8-854D4CF7062C}">
  <dimension ref="A1:U50"/>
  <sheetViews>
    <sheetView topLeftCell="C1" workbookViewId="0">
      <selection activeCell="N14" sqref="N14"/>
    </sheetView>
  </sheetViews>
  <sheetFormatPr defaultColWidth="11" defaultRowHeight="15.6"/>
  <cols>
    <col min="1" max="1" width="15.09765625" customWidth="1"/>
    <col min="2" max="2" width="12.09765625" customWidth="1"/>
    <col min="3" max="3" width="14.59765625" bestFit="1" customWidth="1"/>
    <col min="6" max="6" width="12.09765625" customWidth="1"/>
    <col min="7" max="7" width="13.09765625" bestFit="1" customWidth="1"/>
    <col min="9" max="9" width="14.59765625" bestFit="1" customWidth="1"/>
    <col min="11" max="11" width="17.59765625" bestFit="1" customWidth="1"/>
    <col min="14" max="14" width="24.59765625" bestFit="1" customWidth="1"/>
    <col min="15" max="15" width="21.09765625" bestFit="1" customWidth="1"/>
    <col min="16" max="16" width="12.5" customWidth="1"/>
    <col min="17" max="19" width="14.59765625" bestFit="1" customWidth="1"/>
    <col min="21" max="21" width="21.09765625" bestFit="1" customWidth="1"/>
  </cols>
  <sheetData>
    <row r="1" spans="1:21" ht="16.350000000000001" customHeight="1">
      <c r="A1" s="84" t="s">
        <v>0</v>
      </c>
      <c r="B1" s="84"/>
      <c r="C1" s="84"/>
      <c r="D1" s="84"/>
      <c r="E1" s="84" t="s">
        <v>0</v>
      </c>
      <c r="F1" s="84"/>
      <c r="G1" s="84"/>
      <c r="H1" s="84"/>
      <c r="I1" s="84" t="s">
        <v>0</v>
      </c>
      <c r="J1" s="84"/>
      <c r="K1" s="84"/>
      <c r="L1" s="84"/>
      <c r="N1" s="87" t="s">
        <v>1</v>
      </c>
      <c r="O1" s="87"/>
      <c r="P1" s="87"/>
      <c r="Q1" s="87"/>
      <c r="R1" s="87"/>
      <c r="S1" s="87"/>
      <c r="U1" t="s">
        <v>2</v>
      </c>
    </row>
    <row r="2" spans="1:21">
      <c r="A2" s="16" t="s">
        <v>3</v>
      </c>
      <c r="B2" s="15" t="s">
        <v>4</v>
      </c>
      <c r="C2" s="16" t="s">
        <v>5</v>
      </c>
      <c r="D2" s="15" t="s">
        <v>6</v>
      </c>
      <c r="E2" s="16" t="s">
        <v>7</v>
      </c>
      <c r="F2" s="15" t="s">
        <v>4</v>
      </c>
      <c r="G2" s="16" t="s">
        <v>8</v>
      </c>
      <c r="H2" s="15" t="s">
        <v>6</v>
      </c>
      <c r="I2" s="16" t="s">
        <v>9</v>
      </c>
      <c r="J2" s="15" t="s">
        <v>4</v>
      </c>
      <c r="K2" s="16" t="s">
        <v>10</v>
      </c>
      <c r="L2" s="15" t="s">
        <v>6</v>
      </c>
      <c r="N2" s="27" t="s">
        <v>11</v>
      </c>
      <c r="O2" s="30" t="s">
        <v>12</v>
      </c>
      <c r="P2" s="32" t="s">
        <v>13</v>
      </c>
      <c r="Q2" s="34" t="s">
        <v>14</v>
      </c>
      <c r="R2" s="36" t="s">
        <v>15</v>
      </c>
      <c r="S2" s="35" t="s">
        <v>16</v>
      </c>
      <c r="U2">
        <f>1.75888*10^11</f>
        <v>175888000000</v>
      </c>
    </row>
    <row r="3" spans="1:21">
      <c r="A3" s="2">
        <v>75.55</v>
      </c>
      <c r="B3" s="2">
        <v>122.5</v>
      </c>
      <c r="C3" s="2">
        <v>0.05</v>
      </c>
      <c r="D3" s="2">
        <v>1</v>
      </c>
      <c r="E3" s="4">
        <f>A3*10^-3</f>
        <v>7.5549999999999992E-2</v>
      </c>
      <c r="F3" s="2">
        <v>122.5</v>
      </c>
      <c r="G3" s="6">
        <f>C3*10^-3</f>
        <v>5.0000000000000002E-5</v>
      </c>
      <c r="H3" s="2">
        <v>1</v>
      </c>
      <c r="I3" s="5">
        <f t="shared" ref="I3:I8" si="0">E3^2</f>
        <v>5.7078024999999985E-3</v>
      </c>
      <c r="J3" s="2">
        <v>122.5</v>
      </c>
      <c r="K3" s="6">
        <f>E3*G3*2</f>
        <v>7.5549999999999997E-6</v>
      </c>
      <c r="L3" s="2">
        <v>1</v>
      </c>
      <c r="N3" s="24">
        <v>20776.7</v>
      </c>
      <c r="O3" s="23">
        <f>I41*10^-3</f>
        <v>0.10826387616783537</v>
      </c>
      <c r="P3" s="23">
        <f>4.17*10^-3</f>
        <v>4.1700000000000001E-3</v>
      </c>
      <c r="Q3" s="23">
        <f>(2/P3^2)*(N3/O3^2)</f>
        <v>203876566281.02197</v>
      </c>
      <c r="R3" s="23">
        <f>(2/(P3^2*O3^2))</f>
        <v>9812750.1615281515</v>
      </c>
      <c r="S3" s="22">
        <f>SQRT((R3*N7)^2+(R5*O5)^2)</f>
        <v>6403879257.4145632</v>
      </c>
    </row>
    <row r="4" spans="1:21">
      <c r="A4" s="2">
        <v>76.400000000000006</v>
      </c>
      <c r="B4" s="2">
        <v>125.7</v>
      </c>
      <c r="C4" s="2">
        <v>0.05</v>
      </c>
      <c r="D4" s="2">
        <v>0.1</v>
      </c>
      <c r="E4" s="4">
        <f t="shared" ref="E4:E8" si="1">A4*10^-3</f>
        <v>7.640000000000001E-2</v>
      </c>
      <c r="F4" s="2">
        <v>125.7</v>
      </c>
      <c r="G4" s="6">
        <f t="shared" ref="G4:G8" si="2">C4*10^-3</f>
        <v>5.0000000000000002E-5</v>
      </c>
      <c r="H4" s="2">
        <v>0.1</v>
      </c>
      <c r="I4" s="5">
        <f t="shared" si="0"/>
        <v>5.8369600000000013E-3</v>
      </c>
      <c r="J4" s="2">
        <v>125.7</v>
      </c>
      <c r="K4" s="6">
        <f t="shared" ref="K4:K8" si="3">E4*G4*2</f>
        <v>7.6400000000000014E-6</v>
      </c>
      <c r="L4" s="2">
        <v>0.1</v>
      </c>
      <c r="N4" s="27" t="s">
        <v>17</v>
      </c>
      <c r="O4" s="31" t="s">
        <v>18</v>
      </c>
      <c r="R4" s="37" t="s">
        <v>19</v>
      </c>
      <c r="S4" s="14"/>
      <c r="U4" t="s">
        <v>20</v>
      </c>
    </row>
    <row r="5" spans="1:21">
      <c r="A5" s="2">
        <v>79.900000000000006</v>
      </c>
      <c r="B5" s="2">
        <v>131.9</v>
      </c>
      <c r="C5" s="2">
        <v>0.05</v>
      </c>
      <c r="D5" s="2">
        <v>0.5</v>
      </c>
      <c r="E5" s="4">
        <f t="shared" si="1"/>
        <v>7.9900000000000013E-2</v>
      </c>
      <c r="F5" s="2">
        <v>131.9</v>
      </c>
      <c r="G5" s="6">
        <f t="shared" si="2"/>
        <v>5.0000000000000002E-5</v>
      </c>
      <c r="H5" s="2">
        <v>0.5</v>
      </c>
      <c r="I5" s="5">
        <f t="shared" si="0"/>
        <v>6.3840100000000016E-3</v>
      </c>
      <c r="J5" s="2">
        <v>131.9</v>
      </c>
      <c r="K5" s="6">
        <f t="shared" si="3"/>
        <v>7.9900000000000014E-6</v>
      </c>
      <c r="L5" s="2">
        <v>0.5</v>
      </c>
      <c r="N5" s="23">
        <v>217.536</v>
      </c>
      <c r="O5" s="21">
        <f>I42*10^-3</f>
        <v>2.0059392415050043E-3</v>
      </c>
      <c r="R5" s="21">
        <f>(2*N3*2*P3^2)/(O3^3)</f>
        <v>1138.8275215877763</v>
      </c>
      <c r="S5" s="14"/>
      <c r="U5" s="20">
        <f>((Q3-U2)/U2)</f>
        <v>0.15912720754697293</v>
      </c>
    </row>
    <row r="6" spans="1:21">
      <c r="A6" s="2">
        <v>82.16</v>
      </c>
      <c r="B6" s="2">
        <v>138.19999999999999</v>
      </c>
      <c r="C6" s="2">
        <v>0.05</v>
      </c>
      <c r="D6" s="2">
        <v>0.2</v>
      </c>
      <c r="E6" s="4">
        <f t="shared" si="1"/>
        <v>8.2159999999999997E-2</v>
      </c>
      <c r="F6" s="2">
        <v>138.19999999999999</v>
      </c>
      <c r="G6" s="6">
        <f t="shared" si="2"/>
        <v>5.0000000000000002E-5</v>
      </c>
      <c r="H6" s="2">
        <v>0.2</v>
      </c>
      <c r="I6" s="5">
        <f t="shared" si="0"/>
        <v>6.7502655999999994E-3</v>
      </c>
      <c r="J6" s="2">
        <v>138.19999999999999</v>
      </c>
      <c r="K6" s="6">
        <f t="shared" si="3"/>
        <v>8.2160000000000006E-6</v>
      </c>
      <c r="L6" s="2">
        <v>0.2</v>
      </c>
      <c r="N6" s="27" t="s">
        <v>21</v>
      </c>
      <c r="S6" s="14"/>
    </row>
    <row r="7" spans="1:21">
      <c r="A7" s="7">
        <v>83.47</v>
      </c>
      <c r="B7" s="7">
        <v>143.1</v>
      </c>
      <c r="C7" s="7">
        <v>0.05</v>
      </c>
      <c r="D7" s="7">
        <v>0.5</v>
      </c>
      <c r="E7" s="8">
        <f t="shared" si="1"/>
        <v>8.3470000000000003E-2</v>
      </c>
      <c r="F7" s="7">
        <v>143.1</v>
      </c>
      <c r="G7" s="9">
        <f t="shared" si="2"/>
        <v>5.0000000000000002E-5</v>
      </c>
      <c r="H7" s="7">
        <v>0.5</v>
      </c>
      <c r="I7" s="10">
        <f t="shared" si="0"/>
        <v>6.9672409000000003E-3</v>
      </c>
      <c r="J7" s="7">
        <v>143.1</v>
      </c>
      <c r="K7" s="6">
        <f t="shared" si="3"/>
        <v>8.3469999999999999E-6</v>
      </c>
      <c r="L7" s="7">
        <v>0.5</v>
      </c>
      <c r="N7" s="23">
        <f>N5*3</f>
        <v>652.60799999999995</v>
      </c>
      <c r="S7" s="26"/>
    </row>
    <row r="8" spans="1:21">
      <c r="A8" s="2">
        <v>86.8</v>
      </c>
      <c r="B8" s="2">
        <v>154.6</v>
      </c>
      <c r="C8" s="2">
        <v>0.5</v>
      </c>
      <c r="D8" s="2">
        <v>0.5</v>
      </c>
      <c r="E8" s="4">
        <f t="shared" si="1"/>
        <v>8.6800000000000002E-2</v>
      </c>
      <c r="F8" s="2">
        <v>154.6</v>
      </c>
      <c r="G8" s="11">
        <f t="shared" si="2"/>
        <v>5.0000000000000001E-4</v>
      </c>
      <c r="H8" s="2">
        <v>0.5</v>
      </c>
      <c r="I8" s="5">
        <f t="shared" si="0"/>
        <v>7.5342400000000002E-3</v>
      </c>
      <c r="J8" s="12">
        <v>154.6</v>
      </c>
      <c r="K8" s="6">
        <f t="shared" si="3"/>
        <v>8.6800000000000009E-5</v>
      </c>
      <c r="L8" s="2">
        <v>0.5</v>
      </c>
    </row>
    <row r="9" spans="1:21">
      <c r="A9" s="3"/>
      <c r="B9" s="3"/>
      <c r="C9" s="3"/>
      <c r="D9" s="3"/>
      <c r="E9" s="3"/>
      <c r="F9" s="3"/>
      <c r="G9" s="3"/>
      <c r="H9" s="3"/>
      <c r="J9" s="3"/>
      <c r="K9" s="3"/>
      <c r="L9" s="3"/>
      <c r="M9" s="3"/>
    </row>
    <row r="10" spans="1:21">
      <c r="A10" s="3"/>
      <c r="B10" s="3"/>
      <c r="C10" s="3"/>
      <c r="D10" s="3"/>
      <c r="E10" s="3"/>
      <c r="F10" s="3"/>
      <c r="G10" s="3"/>
      <c r="H10" s="3"/>
      <c r="J10" s="3"/>
      <c r="K10" s="3"/>
      <c r="L10" s="3"/>
      <c r="M10" s="3"/>
    </row>
    <row r="11" spans="1:21">
      <c r="A11" s="3"/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</row>
    <row r="12" spans="1:21" ht="16.350000000000001" customHeight="1">
      <c r="A12" s="85" t="s">
        <v>22</v>
      </c>
      <c r="B12" s="85"/>
      <c r="C12" s="85"/>
      <c r="D12" s="85"/>
      <c r="E12" s="85" t="s">
        <v>22</v>
      </c>
      <c r="F12" s="85"/>
      <c r="G12" s="85"/>
      <c r="H12" s="85"/>
      <c r="I12" s="85" t="s">
        <v>22</v>
      </c>
      <c r="J12" s="85"/>
      <c r="K12" s="85"/>
      <c r="L12" s="85"/>
      <c r="M12" s="3"/>
      <c r="N12" s="86" t="s">
        <v>1</v>
      </c>
      <c r="O12" s="87"/>
      <c r="P12" s="87"/>
      <c r="Q12" s="87"/>
      <c r="R12" s="87"/>
      <c r="S12" s="87"/>
      <c r="U12" t="s">
        <v>2</v>
      </c>
    </row>
    <row r="13" spans="1:21">
      <c r="A13" s="16" t="s">
        <v>3</v>
      </c>
      <c r="B13" s="15" t="s">
        <v>4</v>
      </c>
      <c r="C13" s="16" t="s">
        <v>5</v>
      </c>
      <c r="D13" s="15" t="s">
        <v>6</v>
      </c>
      <c r="E13" s="16" t="s">
        <v>7</v>
      </c>
      <c r="F13" s="15" t="s">
        <v>4</v>
      </c>
      <c r="G13" s="16" t="s">
        <v>8</v>
      </c>
      <c r="H13" s="15" t="s">
        <v>6</v>
      </c>
      <c r="I13" s="16" t="s">
        <v>9</v>
      </c>
      <c r="J13" s="15" t="s">
        <v>4</v>
      </c>
      <c r="K13" s="16" t="s">
        <v>10</v>
      </c>
      <c r="L13" s="15" t="s">
        <v>6</v>
      </c>
      <c r="N13" s="28" t="s">
        <v>11</v>
      </c>
      <c r="O13" s="30" t="s">
        <v>12</v>
      </c>
      <c r="P13" s="33" t="s">
        <v>13</v>
      </c>
      <c r="Q13" s="35" t="s">
        <v>14</v>
      </c>
      <c r="R13" s="37" t="s">
        <v>23</v>
      </c>
      <c r="S13" s="35" t="s">
        <v>16</v>
      </c>
      <c r="U13" s="80">
        <f>1.75888*10^11</f>
        <v>175888000000</v>
      </c>
    </row>
    <row r="14" spans="1:21">
      <c r="A14" s="2">
        <v>69.099999999999994</v>
      </c>
      <c r="B14" s="2">
        <v>102.97</v>
      </c>
      <c r="C14" s="2">
        <v>0.1</v>
      </c>
      <c r="D14" s="2">
        <v>0.1</v>
      </c>
      <c r="E14" s="5">
        <f t="shared" ref="E14:E21" si="4">A14*10^-3</f>
        <v>6.9099999999999995E-2</v>
      </c>
      <c r="F14" s="2">
        <v>102.97</v>
      </c>
      <c r="G14" s="5">
        <f>C14*10^-3</f>
        <v>1E-4</v>
      </c>
      <c r="H14" s="2">
        <v>0.1</v>
      </c>
      <c r="I14" s="6">
        <f t="shared" ref="I14:I21" si="5">E14^2</f>
        <v>4.7748099999999991E-3</v>
      </c>
      <c r="J14" s="2">
        <f t="shared" ref="J14:J21" si="6">B14</f>
        <v>102.97</v>
      </c>
      <c r="K14" s="6">
        <f>G14*2*E14</f>
        <v>1.382E-5</v>
      </c>
      <c r="L14" s="2">
        <v>0.1</v>
      </c>
      <c r="N14" s="24">
        <v>20466.7</v>
      </c>
      <c r="O14" s="78">
        <f>O3</f>
        <v>0.10826387616783537</v>
      </c>
      <c r="P14" s="21">
        <f>4.17*10^-3</f>
        <v>4.1700000000000001E-3</v>
      </c>
      <c r="Q14" s="79">
        <f>(2/P14^2)*(N14/O14^2)</f>
        <v>200834613730.94824</v>
      </c>
      <c r="R14" s="25">
        <f>(2/(P14^2*O14^2))</f>
        <v>9812750.1615281515</v>
      </c>
      <c r="S14" s="79">
        <f>SQRT((R14*N18)^2+(R16*O16)^2)</f>
        <v>4492571406.4524336</v>
      </c>
    </row>
    <row r="15" spans="1:21">
      <c r="A15" s="2">
        <v>75.25</v>
      </c>
      <c r="B15" s="2">
        <v>115.76</v>
      </c>
      <c r="C15" s="2">
        <v>0.1</v>
      </c>
      <c r="D15" s="2">
        <v>0.1</v>
      </c>
      <c r="E15" s="5">
        <f t="shared" si="4"/>
        <v>7.5249999999999997E-2</v>
      </c>
      <c r="F15" s="2">
        <v>115.76</v>
      </c>
      <c r="G15" s="5">
        <f t="shared" ref="G15:G21" si="7">C15*10^-3</f>
        <v>1E-4</v>
      </c>
      <c r="H15" s="2">
        <v>0.1</v>
      </c>
      <c r="I15" s="6">
        <f t="shared" si="5"/>
        <v>5.6625624999999992E-3</v>
      </c>
      <c r="J15" s="2">
        <f t="shared" si="6"/>
        <v>115.76</v>
      </c>
      <c r="K15" s="6">
        <f t="shared" ref="K15:K21" si="8">G15*2*E15</f>
        <v>1.505E-5</v>
      </c>
      <c r="L15" s="2">
        <v>0.1</v>
      </c>
      <c r="N15" s="27" t="s">
        <v>17</v>
      </c>
      <c r="O15" s="31" t="s">
        <v>18</v>
      </c>
      <c r="R15" s="37" t="s">
        <v>19</v>
      </c>
      <c r="S15" s="14"/>
      <c r="U15" t="s">
        <v>20</v>
      </c>
    </row>
    <row r="16" spans="1:21">
      <c r="A16" s="2">
        <v>75.599999999999994</v>
      </c>
      <c r="B16" s="2">
        <v>120.5</v>
      </c>
      <c r="C16" s="2">
        <v>0.1</v>
      </c>
      <c r="D16" s="2">
        <v>0.1</v>
      </c>
      <c r="E16" s="5">
        <f t="shared" si="4"/>
        <v>7.5600000000000001E-2</v>
      </c>
      <c r="F16" s="2">
        <v>120.5</v>
      </c>
      <c r="G16" s="5">
        <f t="shared" si="7"/>
        <v>1E-4</v>
      </c>
      <c r="H16" s="2">
        <v>0.1</v>
      </c>
      <c r="I16" s="6">
        <f t="shared" si="5"/>
        <v>5.7153600000000001E-3</v>
      </c>
      <c r="J16" s="2">
        <f t="shared" si="6"/>
        <v>120.5</v>
      </c>
      <c r="K16" s="6">
        <f t="shared" si="8"/>
        <v>1.5120000000000001E-5</v>
      </c>
      <c r="L16" s="2">
        <v>0.1</v>
      </c>
      <c r="N16" s="23">
        <v>152.61000000000001</v>
      </c>
      <c r="O16" s="55">
        <f>O5</f>
        <v>2.0059392415050043E-3</v>
      </c>
      <c r="R16" s="21">
        <f>(2*N14*2*P14^2)/(O14^3)</f>
        <v>1121.8355771648307</v>
      </c>
      <c r="S16" s="14"/>
      <c r="U16" s="20">
        <f>((Q14-U13)/U13)</f>
        <v>0.14183238044066818</v>
      </c>
    </row>
    <row r="17" spans="1:21">
      <c r="A17" s="2">
        <v>79.83</v>
      </c>
      <c r="B17" s="2">
        <v>128.59</v>
      </c>
      <c r="C17" s="2">
        <v>0.1</v>
      </c>
      <c r="D17" s="2">
        <v>0.1</v>
      </c>
      <c r="E17" s="5">
        <f t="shared" si="4"/>
        <v>7.9829999999999998E-2</v>
      </c>
      <c r="F17" s="2">
        <v>128.59</v>
      </c>
      <c r="G17" s="5">
        <f t="shared" si="7"/>
        <v>1E-4</v>
      </c>
      <c r="H17" s="2">
        <v>0.1</v>
      </c>
      <c r="I17" s="6">
        <f t="shared" si="5"/>
        <v>6.3728288999999995E-3</v>
      </c>
      <c r="J17" s="2">
        <f t="shared" si="6"/>
        <v>128.59</v>
      </c>
      <c r="K17" s="6">
        <f t="shared" si="8"/>
        <v>1.5965999999999999E-5</v>
      </c>
      <c r="L17" s="2">
        <v>0.1</v>
      </c>
      <c r="N17" s="29" t="s">
        <v>21</v>
      </c>
    </row>
    <row r="18" spans="1:21">
      <c r="A18" s="2">
        <v>81.599999999999994</v>
      </c>
      <c r="B18" s="2">
        <v>135</v>
      </c>
      <c r="C18" s="2">
        <v>0.1</v>
      </c>
      <c r="D18" s="2">
        <v>0.1</v>
      </c>
      <c r="E18" s="5">
        <f t="shared" si="4"/>
        <v>8.1599999999999992E-2</v>
      </c>
      <c r="F18" s="2">
        <v>135</v>
      </c>
      <c r="G18" s="5">
        <f t="shared" si="7"/>
        <v>1E-4</v>
      </c>
      <c r="H18" s="2">
        <v>0.1</v>
      </c>
      <c r="I18" s="6">
        <f t="shared" si="5"/>
        <v>6.6585599999999983E-3</v>
      </c>
      <c r="J18" s="2">
        <f t="shared" si="6"/>
        <v>135</v>
      </c>
      <c r="K18" s="6">
        <f t="shared" si="8"/>
        <v>1.632E-5</v>
      </c>
      <c r="L18" s="2">
        <v>0.1</v>
      </c>
      <c r="N18" s="21">
        <f>N16*3</f>
        <v>457.83000000000004</v>
      </c>
    </row>
    <row r="19" spans="1:21">
      <c r="A19" s="7">
        <v>83.6</v>
      </c>
      <c r="B19" s="7">
        <v>142.5</v>
      </c>
      <c r="C19" s="2">
        <v>0.1</v>
      </c>
      <c r="D19" s="7">
        <v>0.1</v>
      </c>
      <c r="E19" s="10">
        <f t="shared" si="4"/>
        <v>8.3599999999999994E-2</v>
      </c>
      <c r="F19" s="7">
        <v>142.5</v>
      </c>
      <c r="G19" s="13">
        <f t="shared" si="7"/>
        <v>1E-4</v>
      </c>
      <c r="H19" s="7">
        <v>0.1</v>
      </c>
      <c r="I19" s="6">
        <f t="shared" si="5"/>
        <v>6.9889599999999989E-3</v>
      </c>
      <c r="J19" s="2">
        <f t="shared" si="6"/>
        <v>142.5</v>
      </c>
      <c r="K19" s="6">
        <f t="shared" si="8"/>
        <v>1.6719999999999999E-5</v>
      </c>
      <c r="L19" s="7">
        <v>0.1</v>
      </c>
    </row>
    <row r="20" spans="1:21">
      <c r="A20" s="1">
        <v>84.2</v>
      </c>
      <c r="B20" s="1">
        <v>145.30000000000001</v>
      </c>
      <c r="C20" s="2">
        <v>0.1</v>
      </c>
      <c r="D20" s="2">
        <v>0.1</v>
      </c>
      <c r="E20" s="5">
        <f t="shared" si="4"/>
        <v>8.4200000000000011E-2</v>
      </c>
      <c r="F20" s="1">
        <v>145.30000000000001</v>
      </c>
      <c r="G20" s="5">
        <f t="shared" si="7"/>
        <v>1E-4</v>
      </c>
      <c r="H20" s="2">
        <v>0.1</v>
      </c>
      <c r="I20" s="6">
        <f t="shared" si="5"/>
        <v>7.0896400000000021E-3</v>
      </c>
      <c r="J20" s="2">
        <f t="shared" si="6"/>
        <v>145.30000000000001</v>
      </c>
      <c r="K20" s="6">
        <f t="shared" si="8"/>
        <v>1.6840000000000001E-5</v>
      </c>
      <c r="L20" s="2">
        <v>0.1</v>
      </c>
    </row>
    <row r="21" spans="1:21">
      <c r="A21" s="1">
        <v>87.5</v>
      </c>
      <c r="B21" s="1">
        <v>153.9</v>
      </c>
      <c r="C21" s="2">
        <v>0.1</v>
      </c>
      <c r="D21" s="2">
        <v>0.1</v>
      </c>
      <c r="E21" s="5">
        <f t="shared" si="4"/>
        <v>8.7500000000000008E-2</v>
      </c>
      <c r="F21" s="1">
        <v>153.9</v>
      </c>
      <c r="G21" s="5">
        <f t="shared" si="7"/>
        <v>1E-4</v>
      </c>
      <c r="H21" s="2">
        <v>0.1</v>
      </c>
      <c r="I21" s="6">
        <f t="shared" si="5"/>
        <v>7.6562500000000016E-3</v>
      </c>
      <c r="J21" s="2">
        <f t="shared" si="6"/>
        <v>153.9</v>
      </c>
      <c r="K21" s="6">
        <f t="shared" si="8"/>
        <v>1.7500000000000002E-5</v>
      </c>
      <c r="L21" s="2">
        <v>0.1</v>
      </c>
      <c r="N21" s="81"/>
    </row>
    <row r="23" spans="1:21">
      <c r="N23" s="86" t="s">
        <v>24</v>
      </c>
      <c r="O23" s="87"/>
      <c r="P23" s="87"/>
      <c r="Q23" s="87"/>
      <c r="R23" s="87"/>
      <c r="S23" s="87"/>
      <c r="U23" t="s">
        <v>2</v>
      </c>
    </row>
    <row r="24" spans="1:21">
      <c r="N24" s="28" t="s">
        <v>11</v>
      </c>
      <c r="O24" s="30" t="s">
        <v>12</v>
      </c>
      <c r="P24" s="33" t="s">
        <v>13</v>
      </c>
      <c r="Q24" s="35" t="s">
        <v>14</v>
      </c>
      <c r="R24" s="37" t="s">
        <v>23</v>
      </c>
      <c r="S24" s="35" t="s">
        <v>16</v>
      </c>
      <c r="U24" s="80">
        <f>1.75888*10^11</f>
        <v>175888000000</v>
      </c>
    </row>
    <row r="25" spans="1:21">
      <c r="N25" s="24">
        <f>2.058*10^4</f>
        <v>20580</v>
      </c>
      <c r="O25" s="78">
        <f>O14</f>
        <v>0.10826387616783537</v>
      </c>
      <c r="P25" s="21">
        <f>4.17*10^-3</f>
        <v>4.1700000000000001E-3</v>
      </c>
      <c r="Q25" s="79">
        <f>(2/P25^2)*(N25/O25^2)</f>
        <v>201946398324.24939</v>
      </c>
      <c r="R25" s="25">
        <f>(2/(P25^2*O25^2))</f>
        <v>9812750.1615281515</v>
      </c>
      <c r="S25" s="79">
        <f>SQRT((R25*N29)^2+(R27*O27)^2)</f>
        <v>588765009.69168913</v>
      </c>
    </row>
    <row r="26" spans="1:21">
      <c r="N26" s="27" t="s">
        <v>17</v>
      </c>
      <c r="O26" s="31" t="s">
        <v>18</v>
      </c>
      <c r="R26" s="37" t="s">
        <v>19</v>
      </c>
      <c r="S26" s="14"/>
      <c r="U26" t="s">
        <v>20</v>
      </c>
    </row>
    <row r="27" spans="1:21">
      <c r="N27" s="23">
        <f>0.002*10^4</f>
        <v>20</v>
      </c>
      <c r="O27" s="55">
        <f>O16</f>
        <v>2.0059392415050043E-3</v>
      </c>
      <c r="R27" s="21">
        <f>(2*N25*2*P25^2)/(O25^3)</f>
        <v>1128.0458587877974</v>
      </c>
      <c r="S27" s="14"/>
      <c r="U27" s="20">
        <f>((Q25-U24)/U24)</f>
        <v>0.1481533607991983</v>
      </c>
    </row>
    <row r="28" spans="1:21">
      <c r="N28" s="29" t="s">
        <v>21</v>
      </c>
    </row>
    <row r="29" spans="1:21">
      <c r="N29" s="21">
        <f>N27*3</f>
        <v>60</v>
      </c>
    </row>
    <row r="31" spans="1:21">
      <c r="A31" t="s">
        <v>25</v>
      </c>
    </row>
    <row r="32" spans="1:21">
      <c r="A32" t="s">
        <v>26</v>
      </c>
    </row>
    <row r="33" spans="1:9">
      <c r="A33" s="38" t="s">
        <v>27</v>
      </c>
      <c r="B33" s="39" t="s">
        <v>28</v>
      </c>
      <c r="C33" s="40" t="s">
        <v>29</v>
      </c>
      <c r="E33" t="s">
        <v>30</v>
      </c>
    </row>
    <row r="34" spans="1:9">
      <c r="A34" s="47">
        <v>20</v>
      </c>
      <c r="B34" s="43">
        <v>67.14</v>
      </c>
      <c r="C34" s="44">
        <v>65.17</v>
      </c>
      <c r="E34" s="48" t="s">
        <v>31</v>
      </c>
      <c r="F34" s="41" t="s">
        <v>32</v>
      </c>
      <c r="G34" s="42" t="s">
        <v>33</v>
      </c>
      <c r="H34" s="40" t="s">
        <v>34</v>
      </c>
      <c r="I34" s="42" t="s">
        <v>35</v>
      </c>
    </row>
    <row r="35" spans="1:9">
      <c r="A35" s="47">
        <v>25</v>
      </c>
      <c r="B35" s="43">
        <v>67.88</v>
      </c>
      <c r="C35" s="44">
        <v>65.5</v>
      </c>
      <c r="E35" s="17" t="s">
        <v>36</v>
      </c>
      <c r="F35" s="18">
        <v>172.8989</v>
      </c>
      <c r="G35" s="18">
        <v>1.6334</v>
      </c>
      <c r="H35" s="18">
        <v>174.16159999999999</v>
      </c>
      <c r="I35" s="18">
        <v>1.1711</v>
      </c>
    </row>
    <row r="36" spans="1:9">
      <c r="A36" s="47">
        <v>30</v>
      </c>
      <c r="B36" s="43">
        <v>68.88</v>
      </c>
      <c r="C36" s="44">
        <v>66.22</v>
      </c>
      <c r="E36" s="17" t="s">
        <v>37</v>
      </c>
      <c r="F36" s="18">
        <v>18.654399999999999</v>
      </c>
      <c r="G36" s="18">
        <v>2.2376999999999998</v>
      </c>
      <c r="H36" s="18">
        <v>13.664199999999999</v>
      </c>
      <c r="I36" s="18">
        <v>1.5988</v>
      </c>
    </row>
    <row r="37" spans="1:9">
      <c r="A37" s="47">
        <v>35</v>
      </c>
      <c r="B37" s="43">
        <v>70.03</v>
      </c>
      <c r="C37" s="44">
        <v>67.38</v>
      </c>
      <c r="E37" s="17" t="s">
        <v>38</v>
      </c>
      <c r="F37" s="18">
        <v>11203.752500000001</v>
      </c>
      <c r="G37" s="18">
        <v>420.78919999999999</v>
      </c>
      <c r="H37" s="18">
        <v>12112.7546</v>
      </c>
      <c r="I37" s="18">
        <v>309.38990000000001</v>
      </c>
    </row>
    <row r="38" spans="1:9">
      <c r="A38" s="47">
        <v>40</v>
      </c>
      <c r="B38" s="43">
        <v>71.400000000000006</v>
      </c>
      <c r="C38" s="44">
        <v>68.75</v>
      </c>
    </row>
    <row r="39" spans="1:9">
      <c r="A39" s="47">
        <v>45</v>
      </c>
      <c r="B39" s="43">
        <v>72.69</v>
      </c>
      <c r="C39" s="44">
        <v>70.459999999999994</v>
      </c>
      <c r="E39" t="s">
        <v>39</v>
      </c>
      <c r="F39" t="s">
        <v>40</v>
      </c>
    </row>
    <row r="40" spans="1:9">
      <c r="A40" s="47">
        <v>50</v>
      </c>
      <c r="B40" s="43">
        <v>74.67</v>
      </c>
      <c r="C40" s="44">
        <v>72.38</v>
      </c>
      <c r="E40" s="19"/>
    </row>
    <row r="41" spans="1:9">
      <c r="A41" s="47">
        <v>55</v>
      </c>
      <c r="B41" s="43">
        <v>76.5</v>
      </c>
      <c r="C41" s="44">
        <v>75</v>
      </c>
      <c r="E41" s="45" t="s">
        <v>41</v>
      </c>
      <c r="F41" s="45">
        <f>SQRT(F37+(F36/2)^2)</f>
        <v>106.25793692633036</v>
      </c>
      <c r="H41" s="45" t="s">
        <v>42</v>
      </c>
      <c r="I41" s="45">
        <f>AVERAGE(F41:F42)</f>
        <v>108.26387616783536</v>
      </c>
    </row>
    <row r="42" spans="1:9">
      <c r="A42" s="47">
        <v>60</v>
      </c>
      <c r="B42" s="43">
        <v>79.040000000000006</v>
      </c>
      <c r="C42" s="44">
        <v>77.67</v>
      </c>
      <c r="E42" s="46" t="s">
        <v>43</v>
      </c>
      <c r="F42" s="46">
        <f>SQRT(H37+(H36/2)^2)</f>
        <v>110.26981540934037</v>
      </c>
      <c r="H42" s="46" t="s">
        <v>44</v>
      </c>
      <c r="I42" s="46">
        <f>(F42-F41)/2</f>
        <v>2.0059392415050041</v>
      </c>
    </row>
    <row r="43" spans="1:9">
      <c r="A43" s="47">
        <v>65</v>
      </c>
      <c r="B43" s="43">
        <v>82.04</v>
      </c>
      <c r="C43" s="44">
        <v>80.53</v>
      </c>
    </row>
    <row r="44" spans="1:9">
      <c r="A44" s="47">
        <v>70</v>
      </c>
      <c r="B44" s="43">
        <v>85.37</v>
      </c>
      <c r="C44" s="44">
        <v>83.8</v>
      </c>
      <c r="E44" t="s">
        <v>45</v>
      </c>
      <c r="G44" s="82" t="s">
        <v>46</v>
      </c>
    </row>
    <row r="45" spans="1:9">
      <c r="A45" s="47">
        <v>75</v>
      </c>
      <c r="B45" s="43">
        <v>89.33</v>
      </c>
      <c r="C45" s="44">
        <v>87.41</v>
      </c>
    </row>
    <row r="46" spans="1:9">
      <c r="A46" s="47">
        <v>80</v>
      </c>
      <c r="B46" s="43">
        <v>93.96</v>
      </c>
      <c r="C46" s="44">
        <v>91.86</v>
      </c>
      <c r="G46" t="s">
        <v>47</v>
      </c>
    </row>
    <row r="47" spans="1:9">
      <c r="A47" s="47">
        <v>85</v>
      </c>
      <c r="B47" s="43">
        <v>99.03</v>
      </c>
      <c r="C47" s="44">
        <v>96.83</v>
      </c>
      <c r="G47" t="s">
        <v>48</v>
      </c>
    </row>
    <row r="48" spans="1:9">
      <c r="A48" s="47">
        <v>90</v>
      </c>
      <c r="B48" s="43">
        <v>104.03</v>
      </c>
      <c r="C48" s="44">
        <v>101.73</v>
      </c>
      <c r="E48" t="s">
        <v>49</v>
      </c>
    </row>
    <row r="49" spans="1:3">
      <c r="A49" s="47">
        <v>95</v>
      </c>
      <c r="B49" s="43">
        <v>110.18</v>
      </c>
      <c r="C49" s="44">
        <v>107.88</v>
      </c>
    </row>
    <row r="50" spans="1:3">
      <c r="A50" s="47">
        <v>100</v>
      </c>
      <c r="B50" s="43">
        <v>117</v>
      </c>
      <c r="C50" s="44">
        <v>115</v>
      </c>
    </row>
  </sheetData>
  <mergeCells count="9">
    <mergeCell ref="A1:D1"/>
    <mergeCell ref="E1:H1"/>
    <mergeCell ref="A12:D12"/>
    <mergeCell ref="E12:H12"/>
    <mergeCell ref="N23:S23"/>
    <mergeCell ref="N12:S12"/>
    <mergeCell ref="N1:S1"/>
    <mergeCell ref="I1:L1"/>
    <mergeCell ref="I12:L12"/>
  </mergeCells>
  <phoneticPr fontId="1" type="noConversion"/>
  <hyperlinks>
    <hyperlink ref="G44" r:id="rId1" xr:uid="{710A7E9D-9BC4-4764-9C2A-48C15073728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EF39-A454-004A-A23E-E3E882CD1EF9}">
  <dimension ref="A1:BT93"/>
  <sheetViews>
    <sheetView tabSelected="1" zoomScale="79" workbookViewId="0">
      <selection activeCell="E3" sqref="E3"/>
    </sheetView>
  </sheetViews>
  <sheetFormatPr defaultColWidth="11.09765625" defaultRowHeight="15.6"/>
  <cols>
    <col min="1" max="1" width="15.5" customWidth="1"/>
    <col min="4" max="4" width="20.59765625" bestFit="1" customWidth="1"/>
    <col min="5" max="5" width="12.09765625" bestFit="1" customWidth="1"/>
    <col min="6" max="6" width="14" bestFit="1" customWidth="1"/>
    <col min="9" max="9" width="8.09765625" bestFit="1" customWidth="1"/>
    <col min="10" max="10" width="13.59765625" bestFit="1" customWidth="1"/>
    <col min="11" max="11" width="10.59765625" bestFit="1" customWidth="1"/>
    <col min="12" max="12" width="8" bestFit="1" customWidth="1"/>
    <col min="16" max="16" width="13.59765625" bestFit="1" customWidth="1"/>
    <col min="17" max="17" width="8" bestFit="1" customWidth="1"/>
    <col min="22" max="22" width="13.59765625" bestFit="1" customWidth="1"/>
    <col min="23" max="23" width="8" bestFit="1" customWidth="1"/>
    <col min="24" max="24" width="8.59765625" bestFit="1" customWidth="1"/>
    <col min="28" max="28" width="21.09765625" customWidth="1"/>
    <col min="29" max="29" width="16.5" customWidth="1"/>
    <col min="32" max="32" width="14" customWidth="1"/>
    <col min="33" max="33" width="11" bestFit="1" customWidth="1"/>
    <col min="34" max="34" width="12.09765625" bestFit="1" customWidth="1"/>
    <col min="35" max="35" width="13.5" customWidth="1"/>
    <col min="36" max="36" width="11.59765625" bestFit="1" customWidth="1"/>
    <col min="37" max="37" width="12.09765625" bestFit="1" customWidth="1"/>
    <col min="38" max="38" width="11.5" bestFit="1" customWidth="1"/>
    <col min="40" max="40" width="12.09765625" bestFit="1" customWidth="1"/>
    <col min="48" max="48" width="11.09765625" bestFit="1" customWidth="1"/>
    <col min="49" max="49" width="11.59765625" bestFit="1" customWidth="1"/>
    <col min="50" max="50" width="11.09765625" bestFit="1" customWidth="1"/>
    <col min="51" max="51" width="12" bestFit="1" customWidth="1"/>
    <col min="52" max="52" width="11.8984375" bestFit="1" customWidth="1"/>
    <col min="53" max="54" width="11.09765625" bestFit="1" customWidth="1"/>
    <col min="55" max="55" width="11.3984375" bestFit="1" customWidth="1"/>
    <col min="56" max="56" width="12" bestFit="1" customWidth="1"/>
    <col min="60" max="60" width="20.69921875" customWidth="1"/>
    <col min="61" max="63" width="11.09765625" bestFit="1" customWidth="1"/>
    <col min="64" max="64" width="12.3984375" bestFit="1" customWidth="1"/>
    <col min="65" max="65" width="11.3984375" bestFit="1" customWidth="1"/>
    <col min="66" max="66" width="11.09765625" bestFit="1" customWidth="1"/>
    <col min="67" max="67" width="12.59765625" bestFit="1" customWidth="1"/>
    <col min="68" max="68" width="12" bestFit="1" customWidth="1"/>
    <col min="69" max="70" width="12.8984375" bestFit="1" customWidth="1"/>
    <col min="71" max="71" width="11.3984375" bestFit="1" customWidth="1"/>
    <col min="72" max="72" width="17.8984375" customWidth="1"/>
  </cols>
  <sheetData>
    <row r="1" spans="1:72">
      <c r="A1" s="88" t="s">
        <v>50</v>
      </c>
      <c r="B1" s="88"/>
      <c r="C1" s="88"/>
      <c r="D1" s="88"/>
      <c r="E1" s="88"/>
      <c r="F1" s="88"/>
      <c r="G1" s="88"/>
      <c r="I1" s="98" t="s">
        <v>0</v>
      </c>
      <c r="J1" s="98"/>
      <c r="K1" s="98"/>
      <c r="L1" s="98"/>
      <c r="O1" s="99" t="s">
        <v>22</v>
      </c>
      <c r="P1" s="99"/>
      <c r="Q1" s="99"/>
      <c r="R1" s="99"/>
      <c r="U1" s="100" t="s">
        <v>51</v>
      </c>
      <c r="V1" s="100"/>
      <c r="W1" s="100"/>
      <c r="X1" s="100"/>
      <c r="AB1" s="95" t="s">
        <v>52</v>
      </c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R1" s="96" t="s">
        <v>53</v>
      </c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H1" s="97" t="s">
        <v>54</v>
      </c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</row>
    <row r="2" spans="1:72">
      <c r="A2" s="21" t="s">
        <v>55</v>
      </c>
      <c r="B2" s="21" t="s">
        <v>56</v>
      </c>
      <c r="C2" s="21" t="s">
        <v>57</v>
      </c>
      <c r="D2" s="21" t="s">
        <v>58</v>
      </c>
      <c r="E2" s="21" t="s">
        <v>59</v>
      </c>
      <c r="F2" s="21" t="s">
        <v>60</v>
      </c>
      <c r="G2" s="21" t="s">
        <v>61</v>
      </c>
      <c r="I2" s="56" t="s">
        <v>62</v>
      </c>
      <c r="J2" s="56" t="s">
        <v>63</v>
      </c>
      <c r="K2" s="56" t="s">
        <v>64</v>
      </c>
      <c r="L2" s="56" t="s">
        <v>65</v>
      </c>
      <c r="O2" s="21" t="s">
        <v>62</v>
      </c>
      <c r="P2" s="21" t="s">
        <v>63</v>
      </c>
      <c r="Q2" s="21" t="s">
        <v>64</v>
      </c>
      <c r="R2" s="21" t="s">
        <v>65</v>
      </c>
      <c r="U2" s="21" t="s">
        <v>62</v>
      </c>
      <c r="V2" s="21" t="s">
        <v>63</v>
      </c>
      <c r="W2" s="21" t="s">
        <v>64</v>
      </c>
      <c r="X2" s="21" t="s">
        <v>65</v>
      </c>
      <c r="AB2" s="68" t="s">
        <v>64</v>
      </c>
      <c r="AC2" s="68" t="s">
        <v>66</v>
      </c>
      <c r="AD2" s="69" t="s">
        <v>65</v>
      </c>
      <c r="AE2" s="69" t="s">
        <v>67</v>
      </c>
      <c r="AG2" s="51" t="s">
        <v>62</v>
      </c>
      <c r="AH2" s="51" t="s">
        <v>68</v>
      </c>
      <c r="AI2" s="74" t="s">
        <v>69</v>
      </c>
      <c r="AJ2" s="74" t="s">
        <v>70</v>
      </c>
      <c r="AK2" s="75" t="s">
        <v>71</v>
      </c>
      <c r="AL2" s="75" t="s">
        <v>72</v>
      </c>
      <c r="AM2" s="76" t="s">
        <v>73</v>
      </c>
      <c r="AN2" s="76" t="s">
        <v>74</v>
      </c>
      <c r="AR2" s="68" t="s">
        <v>64</v>
      </c>
      <c r="AS2" s="68" t="s">
        <v>66</v>
      </c>
      <c r="AT2" s="69" t="s">
        <v>65</v>
      </c>
      <c r="AU2" s="69" t="s">
        <v>67</v>
      </c>
      <c r="AW2" s="51" t="s">
        <v>62</v>
      </c>
      <c r="AX2" s="51" t="s">
        <v>68</v>
      </c>
      <c r="AY2" s="74" t="s">
        <v>69</v>
      </c>
      <c r="AZ2" s="74" t="s">
        <v>70</v>
      </c>
      <c r="BA2" s="75" t="s">
        <v>71</v>
      </c>
      <c r="BB2" s="75" t="s">
        <v>72</v>
      </c>
      <c r="BC2" s="76" t="s">
        <v>73</v>
      </c>
      <c r="BD2" s="76" t="s">
        <v>74</v>
      </c>
      <c r="BH2" s="70" t="s">
        <v>64</v>
      </c>
      <c r="BI2" s="70" t="s">
        <v>66</v>
      </c>
      <c r="BJ2" s="71" t="s">
        <v>65</v>
      </c>
      <c r="BK2" s="71" t="s">
        <v>67</v>
      </c>
      <c r="BM2" s="51" t="s">
        <v>62</v>
      </c>
      <c r="BN2" s="51" t="s">
        <v>68</v>
      </c>
      <c r="BO2" s="74" t="s">
        <v>69</v>
      </c>
      <c r="BP2" s="74" t="s">
        <v>70</v>
      </c>
      <c r="BQ2" s="75" t="s">
        <v>71</v>
      </c>
      <c r="BR2" s="75" t="s">
        <v>72</v>
      </c>
      <c r="BS2" s="76" t="s">
        <v>73</v>
      </c>
      <c r="BT2" s="76" t="s">
        <v>74</v>
      </c>
    </row>
    <row r="3" spans="1:72">
      <c r="A3" s="52">
        <f>6.62607015*10^-34</f>
        <v>6.6260701500000015E-34</v>
      </c>
      <c r="B3" s="53">
        <f>9.109383 *10^-31</f>
        <v>9.109383E-31</v>
      </c>
      <c r="C3" s="52">
        <f>1.602176634*10^-19</f>
        <v>1.6021766340000001E-19</v>
      </c>
      <c r="D3" s="21">
        <f>0.213*10^-9</f>
        <v>2.1300000000000001E-10</v>
      </c>
      <c r="E3" s="21">
        <f>0.123*10^-9</f>
        <v>1.2300000000000001E-10</v>
      </c>
      <c r="F3" s="49">
        <f>0.125</f>
        <v>0.125</v>
      </c>
      <c r="G3" s="21">
        <f>2*10^-3</f>
        <v>2E-3</v>
      </c>
      <c r="I3" s="54">
        <v>3.3</v>
      </c>
      <c r="J3" s="54">
        <v>0.05</v>
      </c>
      <c r="K3" s="55">
        <f>C12*10^-3</f>
        <v>1.4833333333333301E-2</v>
      </c>
      <c r="L3" s="55">
        <f>E12*10^-3</f>
        <v>2.2833333333333299E-2</v>
      </c>
      <c r="O3" s="54">
        <v>2.9</v>
      </c>
      <c r="P3" s="54">
        <v>0.05</v>
      </c>
      <c r="Q3" s="55">
        <f>C10*10^-3</f>
        <v>1.76767676767676E-2</v>
      </c>
      <c r="R3" s="55">
        <f>E10*10^-3</f>
        <v>2.8451178451178401E-2</v>
      </c>
      <c r="U3" s="54">
        <v>3.4</v>
      </c>
      <c r="V3" s="54">
        <v>0.05</v>
      </c>
      <c r="W3" s="55">
        <f>C13*10^-3</f>
        <v>1.5922014622258302E-2</v>
      </c>
      <c r="X3" s="65">
        <f>E13*10^-3</f>
        <v>2.8107229894394799E-2</v>
      </c>
      <c r="AB3" s="55">
        <f>C12*10^-3</f>
        <v>1.4833333333333301E-2</v>
      </c>
      <c r="AC3" s="55">
        <f>D12*10^-3</f>
        <v>2E-3</v>
      </c>
      <c r="AD3" s="55">
        <f>E12*10^-3</f>
        <v>2.2833333333333299E-2</v>
      </c>
      <c r="AE3" s="55">
        <f>F12*10^-3</f>
        <v>2E-3</v>
      </c>
      <c r="AG3" s="54">
        <f>I3</f>
        <v>3.3</v>
      </c>
      <c r="AH3" s="54">
        <f>J3</f>
        <v>0.05</v>
      </c>
      <c r="AI3" s="83" t="e" vm="1">
        <f ca="1">AB12*10^9</f>
        <v>#VALUE!</v>
      </c>
      <c r="AJ3" s="49">
        <f>AD12*10^9</f>
        <v>1.6173739819122369E-4</v>
      </c>
      <c r="AK3" s="49">
        <f>AF12*10^9</f>
        <v>2.5275999999999944E-2</v>
      </c>
      <c r="AL3" s="49">
        <f>AI12*10^9</f>
        <v>3.431911464629588E-3</v>
      </c>
      <c r="AM3" s="21">
        <f>AK12*10^9</f>
        <v>2.2467999999999967E-2</v>
      </c>
      <c r="AN3" s="21">
        <f>AN12*10^9</f>
        <v>2.0005638260610433E-3</v>
      </c>
      <c r="AR3" s="55">
        <f t="shared" ref="AR3:AU4" si="0">C10*10^-3</f>
        <v>1.76767676767676E-2</v>
      </c>
      <c r="AS3" s="55">
        <f>D10*10^-3</f>
        <v>2E-3</v>
      </c>
      <c r="AT3" s="55">
        <f t="shared" si="0"/>
        <v>2.8451178451178401E-2</v>
      </c>
      <c r="AU3" s="55">
        <f t="shared" si="0"/>
        <v>2E-3</v>
      </c>
      <c r="AW3" s="54">
        <f>O3</f>
        <v>2.9</v>
      </c>
      <c r="AX3" s="54">
        <f>P3</f>
        <v>0.05</v>
      </c>
      <c r="AY3" s="49">
        <f>AR12*10^9</f>
        <v>2.2774159330387487E-2</v>
      </c>
      <c r="AZ3" s="49">
        <f>AT12*10^9</f>
        <v>1.9632895974471961E-4</v>
      </c>
      <c r="BA3" s="49">
        <f>AV12*10^9</f>
        <v>3.0121212121211993E-2</v>
      </c>
      <c r="BB3" s="49">
        <f>AY12*10^9</f>
        <v>5.1317548339219702E-3</v>
      </c>
      <c r="BC3" s="21">
        <f>BA12*10^9</f>
        <v>2.799595959595955E-2</v>
      </c>
      <c r="BD3" s="21">
        <f>BD12*10^9</f>
        <v>4.0730208157527753E-3</v>
      </c>
      <c r="BH3" s="55">
        <f>C13*10^-3</f>
        <v>1.5922014622258302E-2</v>
      </c>
      <c r="BI3" s="55">
        <f>D13*10^-3</f>
        <v>2E-3</v>
      </c>
      <c r="BJ3" s="65">
        <f>E13*10^-3</f>
        <v>2.8107229894394799E-2</v>
      </c>
      <c r="BK3" s="65">
        <f>F13*10^-3</f>
        <v>2E-3</v>
      </c>
      <c r="BM3" s="54">
        <f>U3</f>
        <v>3.4</v>
      </c>
      <c r="BN3" s="54">
        <f>V3</f>
        <v>0.05</v>
      </c>
      <c r="BO3" s="49">
        <f>BH12*10^9</f>
        <v>2.1033032607676899E-2</v>
      </c>
      <c r="BP3" s="49">
        <f>BJ12*10^9</f>
        <v>1.5465465152703607E-4</v>
      </c>
      <c r="BQ3" s="49">
        <f>BL12*10^9</f>
        <v>2.7131112916328148E-2</v>
      </c>
      <c r="BR3" s="49">
        <f>BO12*10^9</f>
        <v>5.9494727202120557E-3</v>
      </c>
      <c r="BS3" s="21">
        <f>BQ12*10^9</f>
        <v>2.7657514216084485E-2</v>
      </c>
      <c r="BT3" s="21">
        <f>BT12*10^9</f>
        <v>5.3466411546901123E-3</v>
      </c>
    </row>
    <row r="4" spans="1:72">
      <c r="I4" s="54">
        <v>3.6</v>
      </c>
      <c r="J4" s="54">
        <v>0.05</v>
      </c>
      <c r="K4" s="55">
        <f>C14*10^-3</f>
        <v>1.4962593516209401E-2</v>
      </c>
      <c r="L4" s="55">
        <f>E14*10^-3</f>
        <v>2.5602660016625103E-2</v>
      </c>
      <c r="O4" s="54">
        <v>3.2</v>
      </c>
      <c r="P4" s="54">
        <v>0.05</v>
      </c>
      <c r="Q4" s="55">
        <f>C11*10^-3</f>
        <v>1.5313935681470102E-2</v>
      </c>
      <c r="R4" s="55">
        <f>E11*10^-3</f>
        <v>2.6952526799387401E-2</v>
      </c>
      <c r="U4" s="54">
        <v>3.8</v>
      </c>
      <c r="V4" s="54">
        <v>0.05</v>
      </c>
      <c r="W4" s="55">
        <f>C17*10^-3</f>
        <v>1.45351197726349E-2</v>
      </c>
      <c r="X4" s="65">
        <f>E17*10^-3</f>
        <v>2.5578562728380001E-2</v>
      </c>
      <c r="AB4" s="55">
        <f>C14*10^-3</f>
        <v>1.4962593516209401E-2</v>
      </c>
      <c r="AC4" s="55">
        <f>D14*10^-3</f>
        <v>2E-3</v>
      </c>
      <c r="AD4" s="55">
        <f>E14*10^-3</f>
        <v>2.5602660016625103E-2</v>
      </c>
      <c r="AE4" s="55">
        <f>F14*10^-3</f>
        <v>2E-3</v>
      </c>
      <c r="AG4" s="54">
        <f t="shared" ref="AG4:AG7" si="1">I4</f>
        <v>3.6</v>
      </c>
      <c r="AH4" s="54">
        <f t="shared" ref="AH4:AH8" si="2">J4</f>
        <v>0.05</v>
      </c>
      <c r="AI4" s="49">
        <f t="shared" ref="AI4:AI7" si="3">AB13*10^9</f>
        <v>2.0440433556346102E-2</v>
      </c>
      <c r="AJ4" s="49">
        <f t="shared" ref="AJ4:AJ8" si="4">AD13*10^9</f>
        <v>1.4194745525240372E-4</v>
      </c>
      <c r="AK4" s="49">
        <f t="shared" ref="AK4:AK8" si="5">AF13*10^9</f>
        <v>2.5496259351620823E-2</v>
      </c>
      <c r="AL4" s="49">
        <f t="shared" ref="AL4:AL8" si="6">AI13*10^9</f>
        <v>3.4080000000000004E-3</v>
      </c>
      <c r="AM4" s="21">
        <f t="shared" ref="AM4:AM6" si="7">AK13*10^9</f>
        <v>2.5193017456359105E-2</v>
      </c>
      <c r="AN4" s="21">
        <f t="shared" ref="AN4:AN8" si="8">AN13*10^9</f>
        <v>1.9680000000000001E-3</v>
      </c>
      <c r="AR4" s="55">
        <f t="shared" si="0"/>
        <v>1.5313935681470102E-2</v>
      </c>
      <c r="AS4" s="55">
        <f t="shared" si="0"/>
        <v>2E-3</v>
      </c>
      <c r="AT4" s="55">
        <f t="shared" si="0"/>
        <v>2.6952526799387401E-2</v>
      </c>
      <c r="AU4" s="55">
        <f t="shared" si="0"/>
        <v>2E-3</v>
      </c>
      <c r="AW4" s="54">
        <f t="shared" ref="AW4:AW7" si="9">O4</f>
        <v>3.2</v>
      </c>
      <c r="AX4" s="54">
        <f t="shared" ref="AX4:AX9" si="10">P4</f>
        <v>0.05</v>
      </c>
      <c r="AY4" s="49">
        <f t="shared" ref="AY4:AY9" si="11">AR13*10^9</f>
        <v>2.1680353767128076E-2</v>
      </c>
      <c r="AZ4" s="49">
        <f t="shared" ref="AZ4:AZ8" si="12">AT13*10^9</f>
        <v>1.6937776380568788E-4</v>
      </c>
      <c r="BA4" s="49">
        <f t="shared" ref="BA4:BA9" si="13">AV13*10^9</f>
        <v>2.6094946401225054E-2</v>
      </c>
      <c r="BB4" s="49">
        <f t="shared" ref="BB4:BB9" si="14">AY13*10^9</f>
        <v>4.5630818348824567E-3</v>
      </c>
      <c r="BC4" s="21">
        <f t="shared" ref="BC4:BC9" si="15">BA13*10^9</f>
        <v>2.6521286370597204E-2</v>
      </c>
      <c r="BD4" s="21">
        <f t="shared" ref="BD4:BD9" si="16">BD13*10^9</f>
        <v>3.6583589509317652E-3</v>
      </c>
      <c r="BH4" s="55">
        <f>C17*10^-3</f>
        <v>1.45351197726349E-2</v>
      </c>
      <c r="BI4" s="55">
        <f>D17*10^-3</f>
        <v>2E-3</v>
      </c>
      <c r="BJ4" s="65">
        <f>E17*10^-3</f>
        <v>2.5578562728380001E-2</v>
      </c>
      <c r="BK4" s="65">
        <f>F17*10^-3</f>
        <v>2E-3</v>
      </c>
      <c r="BM4" s="54">
        <f t="shared" ref="BM4:BM7" si="17">U4</f>
        <v>3.8</v>
      </c>
      <c r="BN4" s="54">
        <f t="shared" ref="BN4:BN7" si="18">V4</f>
        <v>0.05</v>
      </c>
      <c r="BO4" s="49">
        <f t="shared" ref="BO4:BO7" si="19">BH13*10^9</f>
        <v>1.9895257080236345E-2</v>
      </c>
      <c r="BP4" s="49">
        <f t="shared" ref="BP4:BP7" si="20">BJ13*10^9</f>
        <v>1.3088984921208103E-4</v>
      </c>
      <c r="BQ4" s="49">
        <f t="shared" ref="BQ4:BQ7" si="21">BL13*10^9</f>
        <v>2.4767844092569873E-2</v>
      </c>
      <c r="BR4" s="49">
        <f t="shared" ref="BR4:BR7" si="22">BO13*10^9</f>
        <v>6.0442261125673441E-3</v>
      </c>
      <c r="BS4" s="21">
        <f t="shared" ref="BS4:BS7" si="23">BQ13*10^9</f>
        <v>2.5169305724725925E-2</v>
      </c>
      <c r="BT4" s="21">
        <f t="shared" ref="BT4:BT7" si="24">BT13*10^9</f>
        <v>5.441100418109272E-3</v>
      </c>
    </row>
    <row r="5" spans="1:72">
      <c r="I5" s="54">
        <v>3.9</v>
      </c>
      <c r="J5" s="54">
        <v>0.05</v>
      </c>
      <c r="K5" s="55">
        <f>C18*10^-3</f>
        <v>1.3243922883487001E-2</v>
      </c>
      <c r="L5" s="55">
        <f>E18*10^-3</f>
        <v>2.4476110645431599E-2</v>
      </c>
      <c r="O5" s="54">
        <v>3.6</v>
      </c>
      <c r="P5" s="54">
        <v>0.05</v>
      </c>
      <c r="Q5" s="55">
        <f>C15*10^-3</f>
        <v>1.41719745222929E-2</v>
      </c>
      <c r="R5" s="55">
        <f>E15*10^-3</f>
        <v>2.5318471337579598E-2</v>
      </c>
      <c r="U5" s="54">
        <v>4.0999999999999996</v>
      </c>
      <c r="V5" s="54">
        <v>0.05</v>
      </c>
      <c r="W5" s="55">
        <f>C21*10^-3</f>
        <v>1.3826758845058899E-2</v>
      </c>
      <c r="X5" s="65">
        <f>E21*10^-3</f>
        <v>2.4481496543310201E-2</v>
      </c>
      <c r="AB5" s="55">
        <f>C18*10^-3</f>
        <v>1.3243922883487001E-2</v>
      </c>
      <c r="AC5" s="55">
        <f>D18*10^-3</f>
        <v>2E-3</v>
      </c>
      <c r="AD5" s="55">
        <f>E18*10^-3</f>
        <v>2.4476110645431599E-2</v>
      </c>
      <c r="AE5" s="55">
        <f>F18*10^-3</f>
        <v>2E-3</v>
      </c>
      <c r="AG5" s="54">
        <f t="shared" si="1"/>
        <v>3.9</v>
      </c>
      <c r="AH5" s="54">
        <f t="shared" si="2"/>
        <v>0.05</v>
      </c>
      <c r="AI5" s="49">
        <f t="shared" si="3"/>
        <v>1.9638533330119515E-2</v>
      </c>
      <c r="AJ5" s="49">
        <f t="shared" si="4"/>
        <v>1.2588803416743291E-4</v>
      </c>
      <c r="AK5" s="49">
        <f t="shared" si="5"/>
        <v>2.256764459346185E-2</v>
      </c>
      <c r="AL5" s="49">
        <f t="shared" si="6"/>
        <v>3.4080000000000004E-3</v>
      </c>
      <c r="AM5" s="21">
        <f t="shared" si="7"/>
        <v>2.4084492875104696E-2</v>
      </c>
      <c r="AN5" s="21">
        <f t="shared" si="8"/>
        <v>1.9680000000000001E-3</v>
      </c>
      <c r="AR5" s="55">
        <f t="shared" ref="AR5:AU6" si="25">C15*10^-3</f>
        <v>1.41719745222929E-2</v>
      </c>
      <c r="AS5" s="55">
        <f t="shared" si="25"/>
        <v>2E-3</v>
      </c>
      <c r="AT5" s="55">
        <f t="shared" si="25"/>
        <v>2.5318471337579598E-2</v>
      </c>
      <c r="AU5" s="55">
        <f t="shared" si="25"/>
        <v>2E-3</v>
      </c>
      <c r="AW5" s="54">
        <f t="shared" si="9"/>
        <v>3.6</v>
      </c>
      <c r="AX5" s="54">
        <f t="shared" si="10"/>
        <v>0.05</v>
      </c>
      <c r="AY5" s="49">
        <f t="shared" si="11"/>
        <v>2.0440433556346102E-2</v>
      </c>
      <c r="AZ5" s="49">
        <f t="shared" si="12"/>
        <v>1.4194745525240374E-4</v>
      </c>
      <c r="BA5" s="49">
        <f t="shared" si="13"/>
        <v>2.4149044585987104E-2</v>
      </c>
      <c r="BB5" s="49">
        <f t="shared" si="14"/>
        <v>4.3301157414902553E-3</v>
      </c>
      <c r="BC5" s="21">
        <f t="shared" si="15"/>
        <v>2.4913375796178326E-2</v>
      </c>
      <c r="BD5" s="21">
        <f t="shared" si="16"/>
        <v>3.3863389987569296E-3</v>
      </c>
      <c r="BH5" s="55">
        <f>C21*10^-3</f>
        <v>1.3826758845058899E-2</v>
      </c>
      <c r="BI5" s="55">
        <f>D21*10^-3</f>
        <v>2E-3</v>
      </c>
      <c r="BJ5" s="65">
        <f>E21*10^-3</f>
        <v>2.4481496543310201E-2</v>
      </c>
      <c r="BK5" s="65">
        <f>F21*10^-3</f>
        <v>2E-3</v>
      </c>
      <c r="BM5" s="54">
        <f t="shared" si="17"/>
        <v>4.0999999999999996</v>
      </c>
      <c r="BN5" s="54">
        <f t="shared" si="18"/>
        <v>0.05</v>
      </c>
      <c r="BO5" s="49">
        <f t="shared" si="19"/>
        <v>1.9153556418772019E-2</v>
      </c>
      <c r="BP5" s="49">
        <f t="shared" si="20"/>
        <v>1.1678997816324404E-4</v>
      </c>
      <c r="BQ5" s="49">
        <f t="shared" si="21"/>
        <v>2.3560797071980367E-2</v>
      </c>
      <c r="BR5" s="49">
        <f t="shared" si="22"/>
        <v>5.6764796491944576E-3</v>
      </c>
      <c r="BS5" s="21">
        <f t="shared" si="23"/>
        <v>2.4089792598617238E-2</v>
      </c>
      <c r="BT5" s="21">
        <f t="shared" si="24"/>
        <v>5.0415041855923579E-3</v>
      </c>
    </row>
    <row r="6" spans="1:72">
      <c r="I6" s="54">
        <v>4.05</v>
      </c>
      <c r="J6" s="54">
        <v>0.05</v>
      </c>
      <c r="K6" s="55">
        <f>C20*10^-3</f>
        <v>1.3973063973063899E-2</v>
      </c>
      <c r="L6" s="55">
        <f>E20*10^-3</f>
        <v>2.44107744107744E-2</v>
      </c>
      <c r="O6" s="54">
        <v>3.75</v>
      </c>
      <c r="P6" s="54">
        <v>0.05</v>
      </c>
      <c r="Q6" s="55">
        <f>C16*10^-3</f>
        <v>1.4611154752553E-2</v>
      </c>
      <c r="R6" s="55">
        <f>E16*10^-3</f>
        <v>2.5923016496465001E-2</v>
      </c>
      <c r="U6" s="54">
        <v>4.3499999999999996</v>
      </c>
      <c r="V6" s="54">
        <v>0.05</v>
      </c>
      <c r="W6" s="55">
        <f>C24*10^-3</f>
        <v>1.3512413512413501E-2</v>
      </c>
      <c r="X6" s="65">
        <f>E24*10^-3</f>
        <v>2.45828245828245E-2</v>
      </c>
      <c r="AB6" s="55">
        <f>C20*10^-3</f>
        <v>1.3973063973063899E-2</v>
      </c>
      <c r="AC6" s="55">
        <f>D20*10^-3</f>
        <v>2E-3</v>
      </c>
      <c r="AD6" s="55">
        <f>E20*10^-3</f>
        <v>2.44107744107744E-2</v>
      </c>
      <c r="AE6" s="55">
        <f>F20*10^-3</f>
        <v>2E-3</v>
      </c>
      <c r="AG6" s="54">
        <f t="shared" si="1"/>
        <v>4.05</v>
      </c>
      <c r="AH6" s="54">
        <f t="shared" si="2"/>
        <v>0.05</v>
      </c>
      <c r="AI6" s="49">
        <f t="shared" si="3"/>
        <v>1.9271425570780515E-2</v>
      </c>
      <c r="AJ6" s="49">
        <f t="shared" si="4"/>
        <v>1.1895941710358337E-4</v>
      </c>
      <c r="AK6" s="49">
        <f t="shared" si="5"/>
        <v>2.3810101010100886E-2</v>
      </c>
      <c r="AL6" s="49">
        <f t="shared" si="6"/>
        <v>3.4080000000000004E-3</v>
      </c>
      <c r="AM6" s="21">
        <f t="shared" si="7"/>
        <v>2.4020202020202015E-2</v>
      </c>
      <c r="AN6" s="21">
        <f t="shared" si="8"/>
        <v>1.9680000000000001E-3</v>
      </c>
      <c r="AR6" s="55">
        <f t="shared" si="25"/>
        <v>1.4611154752553E-2</v>
      </c>
      <c r="AS6" s="55">
        <f t="shared" si="25"/>
        <v>2E-3</v>
      </c>
      <c r="AT6" s="55">
        <f t="shared" si="25"/>
        <v>2.5923016496465001E-2</v>
      </c>
      <c r="AU6" s="55">
        <f t="shared" si="25"/>
        <v>2E-3</v>
      </c>
      <c r="AW6" s="54">
        <f t="shared" si="9"/>
        <v>3.75</v>
      </c>
      <c r="AX6" s="54">
        <f t="shared" si="10"/>
        <v>0.05</v>
      </c>
      <c r="AY6" s="49">
        <f t="shared" si="11"/>
        <v>2.0027452933724342E-2</v>
      </c>
      <c r="AZ6" s="49">
        <f t="shared" si="12"/>
        <v>1.3351635289149559E-4</v>
      </c>
      <c r="BA6" s="49">
        <f t="shared" si="13"/>
        <v>2.4897407698350311E-2</v>
      </c>
      <c r="BB6" s="49">
        <f t="shared" si="14"/>
        <v>4.3425865374018442E-3</v>
      </c>
      <c r="BC6" s="21">
        <f t="shared" si="15"/>
        <v>2.5508248232521562E-2</v>
      </c>
      <c r="BD6" s="21">
        <f t="shared" si="16"/>
        <v>3.387685202573449E-3</v>
      </c>
      <c r="BH6" s="55">
        <f>C24*10^-3</f>
        <v>1.3512413512413501E-2</v>
      </c>
      <c r="BI6" s="55">
        <f>D24*10^-3</f>
        <v>2E-3</v>
      </c>
      <c r="BJ6" s="65">
        <f>E24*10^-3</f>
        <v>2.45828245828245E-2</v>
      </c>
      <c r="BK6" s="65">
        <f>F24*10^-3</f>
        <v>2E-3</v>
      </c>
      <c r="BM6" s="54">
        <f t="shared" si="17"/>
        <v>4.3499999999999996</v>
      </c>
      <c r="BN6" s="54">
        <f t="shared" si="18"/>
        <v>0.05</v>
      </c>
      <c r="BO6" s="49">
        <f t="shared" si="19"/>
        <v>1.8595023226764654E-2</v>
      </c>
      <c r="BP6" s="49">
        <f t="shared" si="20"/>
        <v>1.0686794957910707E-4</v>
      </c>
      <c r="BQ6" s="49">
        <f t="shared" si="21"/>
        <v>2.3025152625152607E-2</v>
      </c>
      <c r="BR6" s="49">
        <f t="shared" si="22"/>
        <v>5.5849003113973127E-3</v>
      </c>
      <c r="BS6" s="21">
        <f t="shared" si="23"/>
        <v>2.4189499389499311E-2</v>
      </c>
      <c r="BT6" s="21">
        <f t="shared" si="24"/>
        <v>5.0477375697755159E-3</v>
      </c>
    </row>
    <row r="7" spans="1:72">
      <c r="I7" s="54">
        <v>4.3499999999999996</v>
      </c>
      <c r="J7" s="54">
        <v>0.05</v>
      </c>
      <c r="K7" s="55">
        <f>C23*10^-3</f>
        <v>1.28755364806866E-2</v>
      </c>
      <c r="L7" s="55">
        <f>E23*10^-3</f>
        <v>2.2832618025751001E-2</v>
      </c>
      <c r="O7" s="54">
        <v>4</v>
      </c>
      <c r="P7" s="54">
        <v>0.05</v>
      </c>
      <c r="Q7" s="55">
        <f>C19*10^-3</f>
        <v>1.3586956521739101E-2</v>
      </c>
      <c r="R7" s="55">
        <f>E19*10^-3</f>
        <v>2.4320652173913E-2</v>
      </c>
      <c r="U7" s="54">
        <v>4.5</v>
      </c>
      <c r="V7" s="54">
        <v>0.05</v>
      </c>
      <c r="W7" s="55">
        <f>C26*10^-3</f>
        <v>1.29817444219066E-2</v>
      </c>
      <c r="X7" s="65">
        <f>E26*10^-3</f>
        <v>2.2880324543610501E-2</v>
      </c>
      <c r="AB7" s="55">
        <f>C23*10^-3</f>
        <v>1.28755364806866E-2</v>
      </c>
      <c r="AC7" s="55">
        <f>D23*10^-3</f>
        <v>2E-3</v>
      </c>
      <c r="AD7" s="55">
        <f>E23*10^-3</f>
        <v>2.2832618025751001E-2</v>
      </c>
      <c r="AE7" s="55">
        <f>F23*10^-3</f>
        <v>2E-3</v>
      </c>
      <c r="AG7" s="54">
        <f t="shared" si="1"/>
        <v>4.3499999999999996</v>
      </c>
      <c r="AH7" s="54">
        <f t="shared" si="2"/>
        <v>0.05</v>
      </c>
      <c r="AI7" s="49">
        <f t="shared" si="3"/>
        <v>1.8595023226764654E-2</v>
      </c>
      <c r="AJ7" s="49">
        <f t="shared" si="4"/>
        <v>1.0686794957910708E-4</v>
      </c>
      <c r="AK7" s="49">
        <f t="shared" si="5"/>
        <v>2.1939914163089966E-2</v>
      </c>
      <c r="AL7" s="49">
        <f t="shared" si="6"/>
        <v>3.4080000000000004E-3</v>
      </c>
      <c r="AM7" s="21">
        <f>AK16*10^9</f>
        <v>2.2467296137338989E-2</v>
      </c>
      <c r="AN7" s="21">
        <f t="shared" si="8"/>
        <v>1.9680000000000001E-3</v>
      </c>
      <c r="AR7" s="55">
        <f>C19*10^-3</f>
        <v>1.3586956521739101E-2</v>
      </c>
      <c r="AS7" s="55">
        <f>D19*10^-3</f>
        <v>2E-3</v>
      </c>
      <c r="AT7" s="55">
        <f>E19*10^-3</f>
        <v>2.4320652173913E-2</v>
      </c>
      <c r="AU7" s="55">
        <f>F19*10^-3</f>
        <v>2E-3</v>
      </c>
      <c r="AW7" s="54">
        <f t="shared" si="9"/>
        <v>4</v>
      </c>
      <c r="AX7" s="54">
        <f t="shared" si="10"/>
        <v>0.05</v>
      </c>
      <c r="AY7" s="49">
        <f t="shared" si="11"/>
        <v>1.939149791981681E-2</v>
      </c>
      <c r="AZ7" s="49">
        <f t="shared" si="12"/>
        <v>1.2119686199885508E-4</v>
      </c>
      <c r="BA7" s="49">
        <f t="shared" si="13"/>
        <v>2.3152173913043431E-2</v>
      </c>
      <c r="BB7" s="49">
        <f t="shared" si="14"/>
        <v>4.1708295303591741E-3</v>
      </c>
      <c r="BC7" s="21">
        <f t="shared" si="15"/>
        <v>2.3931521739130393E-2</v>
      </c>
      <c r="BD7" s="21">
        <f t="shared" si="16"/>
        <v>3.1701977233131898E-3</v>
      </c>
      <c r="BH7" s="55">
        <f>C26*10^-3</f>
        <v>1.29817444219066E-2</v>
      </c>
      <c r="BI7" s="55">
        <f>D26*10^-3</f>
        <v>2E-3</v>
      </c>
      <c r="BJ7" s="65">
        <f>E26*10^-3</f>
        <v>2.2880324543610501E-2</v>
      </c>
      <c r="BK7" s="65">
        <f>F26*10^-3</f>
        <v>2E-3</v>
      </c>
      <c r="BM7" s="54">
        <f t="shared" si="17"/>
        <v>4.5</v>
      </c>
      <c r="BN7" s="54">
        <f t="shared" si="18"/>
        <v>0.05</v>
      </c>
      <c r="BO7" s="49">
        <f>BH16*10^9</f>
        <v>1.8282479568623063E-2</v>
      </c>
      <c r="BP7" s="49">
        <f t="shared" si="20"/>
        <v>1.0156933093679474E-4</v>
      </c>
      <c r="BQ7" s="49">
        <f t="shared" si="21"/>
        <v>2.2120892494928848E-2</v>
      </c>
      <c r="BR7" s="49">
        <f t="shared" si="22"/>
        <v>5.2366808581744608E-3</v>
      </c>
      <c r="BS7" s="21">
        <f t="shared" si="23"/>
        <v>2.2514239350912738E-2</v>
      </c>
      <c r="BT7" s="21">
        <f t="shared" si="24"/>
        <v>4.4998426235666493E-3</v>
      </c>
    </row>
    <row r="8" spans="1:72">
      <c r="A8" s="90" t="s">
        <v>75</v>
      </c>
      <c r="B8" s="90"/>
      <c r="C8" s="90"/>
      <c r="D8" s="90"/>
      <c r="E8" s="90"/>
      <c r="F8" s="90"/>
      <c r="I8" s="54">
        <v>4.5</v>
      </c>
      <c r="J8" s="54">
        <v>0.05</v>
      </c>
      <c r="K8" s="55">
        <f>C25*10^-3</f>
        <v>1.2932723709993401E-2</v>
      </c>
      <c r="L8" s="55">
        <f>E25*10^-3</f>
        <v>2.2730241672109699E-2</v>
      </c>
      <c r="O8" s="54">
        <v>4.2</v>
      </c>
      <c r="P8" s="54">
        <v>0.05</v>
      </c>
      <c r="Q8" s="55">
        <f>C22*10^-3</f>
        <v>1.3487738419618501E-2</v>
      </c>
      <c r="R8" s="55">
        <f>E22*10^-3</f>
        <v>2.3978201634877301E-2</v>
      </c>
      <c r="AB8" s="55">
        <f>C25*10^-3</f>
        <v>1.2932723709993401E-2</v>
      </c>
      <c r="AC8" s="55">
        <f>D25*10^-3</f>
        <v>2E-3</v>
      </c>
      <c r="AD8" s="55">
        <f>E25*10^-3</f>
        <v>2.2730241672109699E-2</v>
      </c>
      <c r="AE8" s="55">
        <f>F25*10^-3</f>
        <v>2E-3</v>
      </c>
      <c r="AG8" s="54">
        <f>I8</f>
        <v>4.5</v>
      </c>
      <c r="AH8" s="54">
        <f t="shared" si="2"/>
        <v>0.05</v>
      </c>
      <c r="AI8" s="49">
        <f>AB17*10^9</f>
        <v>1.8282479568623063E-2</v>
      </c>
      <c r="AJ8" s="49">
        <f t="shared" si="4"/>
        <v>1.0156933093679476E-4</v>
      </c>
      <c r="AK8" s="49">
        <f t="shared" si="5"/>
        <v>2.2037361201828757E-2</v>
      </c>
      <c r="AL8" s="49">
        <f t="shared" si="6"/>
        <v>3.4080000000000004E-3</v>
      </c>
      <c r="AM8" s="21">
        <f>AK17*10^9</f>
        <v>2.2366557805355944E-2</v>
      </c>
      <c r="AN8" s="21">
        <f t="shared" si="8"/>
        <v>1.9680000000000001E-3</v>
      </c>
      <c r="AR8" s="55">
        <f>C22*10^-3</f>
        <v>1.3487738419618501E-2</v>
      </c>
      <c r="AS8" s="55">
        <f>D22*10^-3</f>
        <v>2E-3</v>
      </c>
      <c r="AT8" s="55">
        <f>E22*10^-3</f>
        <v>2.3978201634877301E-2</v>
      </c>
      <c r="AU8" s="55">
        <f>F22*10^-3</f>
        <v>2E-3</v>
      </c>
      <c r="AW8" s="54">
        <f>O8</f>
        <v>4.2</v>
      </c>
      <c r="AX8" s="54">
        <f>P8</f>
        <v>0.05</v>
      </c>
      <c r="AY8" s="49">
        <f t="shared" si="11"/>
        <v>1.8924164234530555E-2</v>
      </c>
      <c r="AZ8" s="49">
        <f t="shared" si="12"/>
        <v>1.1264383472934852E-4</v>
      </c>
      <c r="BA8" s="49">
        <f t="shared" si="13"/>
        <v>2.2983106267029926E-2</v>
      </c>
      <c r="BB8" s="49">
        <f t="shared" si="14"/>
        <v>3.4080000000000004E-3</v>
      </c>
      <c r="BC8" s="21">
        <f t="shared" si="15"/>
        <v>2.3594550408719269E-2</v>
      </c>
      <c r="BD8" s="21">
        <f t="shared" si="16"/>
        <v>1.9680000000000001E-3</v>
      </c>
      <c r="BH8" s="57"/>
      <c r="BI8" s="57"/>
      <c r="BJ8" s="57"/>
      <c r="BK8" s="57"/>
    </row>
    <row r="9" spans="1:72">
      <c r="A9" s="60" t="s">
        <v>76</v>
      </c>
      <c r="B9" s="60" t="s">
        <v>77</v>
      </c>
      <c r="C9" s="60" t="s">
        <v>78</v>
      </c>
      <c r="D9" s="60" t="s">
        <v>79</v>
      </c>
      <c r="E9" s="60" t="s">
        <v>80</v>
      </c>
      <c r="F9" s="60" t="s">
        <v>81</v>
      </c>
      <c r="O9" s="54">
        <v>4.55</v>
      </c>
      <c r="P9" s="54">
        <v>0.05</v>
      </c>
      <c r="Q9" s="55">
        <f>C27*10^-3</f>
        <v>1.2263436790310299E-2</v>
      </c>
      <c r="R9" s="55">
        <f>E27*10^-3</f>
        <v>2.2710068130204299E-2</v>
      </c>
      <c r="AR9" s="55">
        <f>C27*10^-3</f>
        <v>1.2263436790310299E-2</v>
      </c>
      <c r="AS9" s="55">
        <f>D27*10^-3</f>
        <v>2E-3</v>
      </c>
      <c r="AT9" s="55">
        <f>E27*10^-3</f>
        <v>2.2710068130204299E-2</v>
      </c>
      <c r="AU9" s="55">
        <f>F27*10^-3</f>
        <v>2E-3</v>
      </c>
      <c r="AW9" s="54">
        <f>O9</f>
        <v>4.55</v>
      </c>
      <c r="AX9" s="54">
        <f t="shared" si="10"/>
        <v>0.05</v>
      </c>
      <c r="AY9" s="49">
        <f t="shared" si="11"/>
        <v>1.8181748887077825E-2</v>
      </c>
      <c r="AZ9" s="49">
        <f>AT18*10^9</f>
        <v>9.9899719159768358E-5</v>
      </c>
      <c r="BA9" s="49">
        <f t="shared" si="13"/>
        <v>2.0896896290688749E-2</v>
      </c>
      <c r="BB9" s="49">
        <f t="shared" si="14"/>
        <v>3.4080000000000004E-3</v>
      </c>
      <c r="BC9" s="21">
        <f t="shared" si="15"/>
        <v>2.2346707040121032E-2</v>
      </c>
      <c r="BD9" s="21">
        <f t="shared" si="16"/>
        <v>1.9680000000000001E-3</v>
      </c>
      <c r="BH9" s="57"/>
      <c r="BI9" s="57"/>
      <c r="BJ9" s="57"/>
      <c r="BK9" s="57"/>
    </row>
    <row r="10" spans="1:72">
      <c r="A10" s="61">
        <v>2900</v>
      </c>
      <c r="B10" s="63" t="s">
        <v>82</v>
      </c>
      <c r="C10" s="59">
        <v>17.6767676767676</v>
      </c>
      <c r="D10" s="61">
        <v>2</v>
      </c>
      <c r="E10" s="59">
        <v>28.4511784511784</v>
      </c>
      <c r="F10" s="61">
        <v>2</v>
      </c>
    </row>
    <row r="11" spans="1:72">
      <c r="A11" s="61">
        <v>3200</v>
      </c>
      <c r="B11" s="63" t="s">
        <v>82</v>
      </c>
      <c r="C11" s="59">
        <v>15.313935681470101</v>
      </c>
      <c r="D11" s="61">
        <v>2</v>
      </c>
      <c r="E11" s="59">
        <v>26.9525267993874</v>
      </c>
      <c r="F11" s="61">
        <v>2</v>
      </c>
      <c r="AB11" s="50" t="s">
        <v>83</v>
      </c>
      <c r="AC11" s="51" t="s">
        <v>84</v>
      </c>
      <c r="AD11" s="51" t="s">
        <v>85</v>
      </c>
      <c r="AF11" s="67" t="s">
        <v>86</v>
      </c>
      <c r="AG11" s="66" t="s">
        <v>87</v>
      </c>
      <c r="AH11" s="66" t="s">
        <v>88</v>
      </c>
      <c r="AI11" s="67" t="s">
        <v>89</v>
      </c>
      <c r="AK11" s="67" t="s">
        <v>90</v>
      </c>
      <c r="AL11" s="66" t="s">
        <v>87</v>
      </c>
      <c r="AM11" s="66" t="s">
        <v>88</v>
      </c>
      <c r="AN11" s="67" t="s">
        <v>91</v>
      </c>
      <c r="AR11" s="50" t="s">
        <v>83</v>
      </c>
      <c r="AS11" s="51" t="s">
        <v>84</v>
      </c>
      <c r="AT11" s="51" t="s">
        <v>85</v>
      </c>
      <c r="AV11" s="67" t="s">
        <v>86</v>
      </c>
      <c r="AW11" s="66" t="s">
        <v>87</v>
      </c>
      <c r="AX11" s="66" t="s">
        <v>88</v>
      </c>
      <c r="AY11" s="67" t="s">
        <v>89</v>
      </c>
      <c r="BA11" s="67" t="s">
        <v>90</v>
      </c>
      <c r="BB11" s="66" t="s">
        <v>87</v>
      </c>
      <c r="BC11" s="66" t="s">
        <v>88</v>
      </c>
      <c r="BD11" s="67" t="s">
        <v>91</v>
      </c>
      <c r="BH11" s="50" t="s">
        <v>83</v>
      </c>
      <c r="BI11" s="51" t="s">
        <v>84</v>
      </c>
      <c r="BJ11" s="51" t="s">
        <v>85</v>
      </c>
      <c r="BL11" s="72" t="s">
        <v>86</v>
      </c>
      <c r="BM11" s="73" t="s">
        <v>87</v>
      </c>
      <c r="BN11" s="73" t="s">
        <v>88</v>
      </c>
      <c r="BO11" s="72" t="s">
        <v>89</v>
      </c>
      <c r="BQ11" s="72" t="s">
        <v>90</v>
      </c>
      <c r="BR11" s="73" t="s">
        <v>87</v>
      </c>
      <c r="BS11" s="73" t="s">
        <v>88</v>
      </c>
      <c r="BT11" s="72" t="s">
        <v>91</v>
      </c>
    </row>
    <row r="12" spans="1:72">
      <c r="A12" s="61">
        <v>3300</v>
      </c>
      <c r="B12" s="64" t="s">
        <v>92</v>
      </c>
      <c r="C12" s="59">
        <v>14.8333333333333</v>
      </c>
      <c r="D12" s="61">
        <v>2</v>
      </c>
      <c r="E12" s="59">
        <v>22.8333333333333</v>
      </c>
      <c r="F12" s="61">
        <v>2</v>
      </c>
      <c r="AB12" s="49" t="e" cm="1" vm="2">
        <f t="array" aca="1" ref="AB12" ca="1">($A$3)/BO2:BO7+BH3(SQRT(2*$C$3*$B$3*I3*10^3))</f>
        <v>#VALUE!</v>
      </c>
      <c r="AC12" s="49">
        <f>($A$3)/(SQRT(8*$B$3*$C$3)*(I3*10^3)^(3/2))</f>
        <v>3.2347479638244737E-15</v>
      </c>
      <c r="AD12" s="49">
        <f>AC12*(J3*10^3)</f>
        <v>1.617373981912237E-13</v>
      </c>
      <c r="AF12" s="1">
        <f>($D$3*AB3)/$F$3</f>
        <v>2.5275999999999945E-11</v>
      </c>
      <c r="AG12" s="49">
        <f>$D$3/$F$3</f>
        <v>1.7040000000000001E-9</v>
      </c>
      <c r="AH12" s="49">
        <f>($D$3*AB3)/($F$3^2)</f>
        <v>2.0220799999999956E-10</v>
      </c>
      <c r="AI12" s="1">
        <f>SQRT((AG12*AC3)^2+(AH12*G3)^2)</f>
        <v>3.4319114646295879E-12</v>
      </c>
      <c r="AK12" s="1">
        <f>($E$3*AD3)/$F$3</f>
        <v>2.2467999999999968E-11</v>
      </c>
      <c r="AL12" s="49">
        <f>$E$3/$F$3</f>
        <v>9.8400000000000012E-10</v>
      </c>
      <c r="AM12" s="49">
        <f>($E$3*AD3)/($F$3^2)</f>
        <v>1.7974399999999974E-10</v>
      </c>
      <c r="AN12" s="1">
        <f>SQRT((AL12*AE3)^2+(AM12*G3)^2)</f>
        <v>2.0005638260610432E-12</v>
      </c>
      <c r="AR12" s="49">
        <f>($A$3)/(SQRT(2*$C$3*$B$3*O3*10^3))</f>
        <v>2.2774159330387487E-11</v>
      </c>
      <c r="AS12" s="49">
        <f>($A$3)/SQRT(8*$B$3*$C$3)*(O3*10^3)^(-3/2)</f>
        <v>3.9265791948943922E-15</v>
      </c>
      <c r="AT12" s="49">
        <f>AS12*(P3*10^3)</f>
        <v>1.9632895974471961E-13</v>
      </c>
      <c r="AV12" s="1">
        <f>($D$3*AR3)/$F$3</f>
        <v>3.0121212121211994E-11</v>
      </c>
      <c r="AW12" s="49">
        <f>$D$3/$F$3</f>
        <v>1.7040000000000001E-9</v>
      </c>
      <c r="AX12" s="49">
        <f>($D$3*AR3)/($F$3^2)</f>
        <v>2.4096969696969595E-10</v>
      </c>
      <c r="AY12" s="1">
        <f>SQRT((AW12*AS3)^2+(AX12*W3)^2)</f>
        <v>5.1317548339219703E-12</v>
      </c>
      <c r="BA12" s="1">
        <f>($E$3*AT3)/$F$3</f>
        <v>2.799595959595955E-11</v>
      </c>
      <c r="BB12" s="49">
        <f>$E$3/$F$3</f>
        <v>9.8400000000000012E-10</v>
      </c>
      <c r="BC12" s="49">
        <f>($E$3*AT3)/($F$3^2)</f>
        <v>2.239676767676764E-10</v>
      </c>
      <c r="BD12" s="1">
        <f>SQRT((BB12*AU3)^2+(BC12*W3)^2)</f>
        <v>4.0730208157527751E-12</v>
      </c>
      <c r="BH12" s="79">
        <f>($A$3)/(SQRT(2*$C$3*$B$3*U3*10^3))</f>
        <v>2.1033032607676898E-11</v>
      </c>
      <c r="BI12" s="49">
        <f>($A$3)/SQRT(8*$B$3*$C$3)*(U3*10^3)^(-3/2)</f>
        <v>3.0930930305407217E-15</v>
      </c>
      <c r="BJ12" s="49">
        <f>BI12*(V3*10^3)</f>
        <v>1.5465465152703608E-13</v>
      </c>
      <c r="BL12" s="49">
        <f>($D$3*BH3)/$F$3</f>
        <v>2.7131112916328148E-11</v>
      </c>
      <c r="BM12" s="49">
        <f>$D$3/$F$3</f>
        <v>1.7040000000000001E-9</v>
      </c>
      <c r="BN12" s="49">
        <f>($D$3*BH3)/($F$3^2)</f>
        <v>2.1704890333062519E-10</v>
      </c>
      <c r="BO12" s="21">
        <f>SQRT((BM12*BI3)^2+(BN12*AM3)^2)</f>
        <v>5.9494727202120553E-12</v>
      </c>
      <c r="BQ12" s="49">
        <f>($E$3*BJ3)/$F$3</f>
        <v>2.7657514216084486E-11</v>
      </c>
      <c r="BR12" s="49">
        <f>$E$3/$F$3</f>
        <v>9.8400000000000012E-10</v>
      </c>
      <c r="BS12" s="49">
        <f>($E$3*BJ3)/($F$3^2)</f>
        <v>2.2126011372867589E-10</v>
      </c>
      <c r="BT12" s="21">
        <f>SQRT((BR12*BK3)^2+(BS12*AM3)^2)</f>
        <v>5.3466411546901126E-12</v>
      </c>
    </row>
    <row r="13" spans="1:72">
      <c r="A13" s="61">
        <v>3400</v>
      </c>
      <c r="B13" s="62" t="s">
        <v>93</v>
      </c>
      <c r="C13" s="59">
        <v>15.922014622258301</v>
      </c>
      <c r="D13" s="61">
        <v>2</v>
      </c>
      <c r="E13" s="59">
        <v>28.107229894394798</v>
      </c>
      <c r="F13" s="61">
        <v>2</v>
      </c>
      <c r="AB13" s="49">
        <f>($A$3)/(SQRT(2*$C$3*$B$3*I4*10^3))</f>
        <v>2.0440433556346103E-11</v>
      </c>
      <c r="AC13" s="49">
        <f t="shared" ref="AC13:AC17" si="26">($A$3)/(SQRT(8*$B$3*$C$3)*(I4*10^3)^(3/2))</f>
        <v>2.8389491050480742E-15</v>
      </c>
      <c r="AD13" s="49">
        <f t="shared" ref="AD13:AD17" si="27">AC13*(J4*10^3)</f>
        <v>1.4194745525240371E-13</v>
      </c>
      <c r="AF13" s="1">
        <f t="shared" ref="AF13:AF17" si="28">($D$3*AB4)/$F$3</f>
        <v>2.5496259351620822E-11</v>
      </c>
      <c r="AG13" s="49">
        <f t="shared" ref="AG13:AG17" si="29">$D$3/$F$3</f>
        <v>1.7040000000000001E-9</v>
      </c>
      <c r="AH13" s="49">
        <f t="shared" ref="AH13:AH17" si="30">($D$3*AB4)/($F$3^2)</f>
        <v>2.0397007481296657E-10</v>
      </c>
      <c r="AI13" s="1">
        <f t="shared" ref="AI13:AI17" si="31">SQRT((AG13*AC4)^2+(AH13*G4)^2)</f>
        <v>3.4080000000000004E-12</v>
      </c>
      <c r="AK13" s="1">
        <f t="shared" ref="AK13:AK17" si="32">($E$3*AD4)/$F$3</f>
        <v>2.5193017456359104E-11</v>
      </c>
      <c r="AL13" s="49">
        <f t="shared" ref="AL13:AL17" si="33">$E$3/$F$3</f>
        <v>9.8400000000000012E-10</v>
      </c>
      <c r="AM13" s="49">
        <f t="shared" ref="AM13:AM17" si="34">($E$3*AD4)/($F$3^2)</f>
        <v>2.0154413965087283E-10</v>
      </c>
      <c r="AN13" s="1">
        <f t="shared" ref="AN13:AN17" si="35">SQRT((AL13*AE4)^2+(AM13*G4)^2)</f>
        <v>1.9680000000000001E-12</v>
      </c>
      <c r="AR13" s="49">
        <f t="shared" ref="AR13:AR18" si="36">($A$3)/(SQRT(2*$C$3*$B$3*O4*10^3))</f>
        <v>2.1680353767128075E-11</v>
      </c>
      <c r="AS13" s="49">
        <f t="shared" ref="AS13:AS17" si="37">($A$3)/SQRT(8*$B$3*$C$3)*(O4*10^3)^(-3/2)</f>
        <v>3.3875552761137574E-15</v>
      </c>
      <c r="AT13" s="49">
        <f t="shared" ref="AT13:AT17" si="38">AS13*(P4*10^3)</f>
        <v>1.6937776380568786E-13</v>
      </c>
      <c r="AV13" s="1">
        <f t="shared" ref="AV13:AV18" si="39">($D$3*AR4)/$F$3</f>
        <v>2.6094946401225054E-11</v>
      </c>
      <c r="AW13" s="49">
        <f t="shared" ref="AW13:AW18" si="40">$D$3/$F$3</f>
        <v>1.7040000000000001E-9</v>
      </c>
      <c r="AX13" s="49">
        <f t="shared" ref="AX13:AX18" si="41">($D$3*AR4)/($F$3^2)</f>
        <v>2.0875957120980043E-10</v>
      </c>
      <c r="AY13" s="1">
        <f t="shared" ref="AY13:AY18" si="42">SQRT((AW13*AS4)^2+(AX13*W4)^2)</f>
        <v>4.5630818348824571E-12</v>
      </c>
      <c r="BA13" s="1">
        <f t="shared" ref="BA13:BA18" si="43">($E$3*AT4)/$F$3</f>
        <v>2.6521286370597205E-11</v>
      </c>
      <c r="BB13" s="49">
        <f t="shared" ref="BB13:BB18" si="44">$E$3/$F$3</f>
        <v>9.8400000000000012E-10</v>
      </c>
      <c r="BC13" s="49">
        <f t="shared" ref="BC13:BC18" si="45">($E$3*AT4)/($F$3^2)</f>
        <v>2.1217029096477764E-10</v>
      </c>
      <c r="BD13" s="1">
        <f t="shared" ref="BD13:BD17" si="46">SQRT((BB13*AU4)^2+(BC13*W4)^2)</f>
        <v>3.6583589509317652E-12</v>
      </c>
      <c r="BH13" s="79">
        <f>($A$3)/(SQRT(2*$C$3*$B$3*U4*10^3))</f>
        <v>1.9895257080236344E-11</v>
      </c>
      <c r="BI13" s="49">
        <f t="shared" ref="BI13:BI16" si="47">($A$3)/SQRT(8*$B$3*$C$3)*(U4*10^3)^(-3/2)</f>
        <v>2.6177969842416209E-15</v>
      </c>
      <c r="BJ13" s="49">
        <f t="shared" ref="BJ13:BJ16" si="48">BI13*(V4*10^3)</f>
        <v>1.3088984921208103E-13</v>
      </c>
      <c r="BL13" s="21">
        <f t="shared" ref="BL13:BL16" si="49">($D$3*BH4)/$F$3</f>
        <v>2.4767844092569871E-11</v>
      </c>
      <c r="BM13" s="49">
        <f t="shared" ref="BM13:BM16" si="50">$D$3/$F$3</f>
        <v>1.7040000000000001E-9</v>
      </c>
      <c r="BN13" s="49">
        <f t="shared" ref="BN13:BN16" si="51">($D$3*BH4)/($F$3^2)</f>
        <v>1.9814275274055897E-10</v>
      </c>
      <c r="BO13" s="21">
        <f t="shared" ref="BO13:BO16" si="52">SQRT((BM13*BI4)^2+(BN13*AM4)^2)</f>
        <v>6.0442261125673439E-12</v>
      </c>
      <c r="BQ13" s="21">
        <f t="shared" ref="BQ13:BQ16" si="53">($E$3*BJ4)/$F$3</f>
        <v>2.5169305724725923E-11</v>
      </c>
      <c r="BR13" s="49">
        <f t="shared" ref="BR13:BR16" si="54">$E$3/$F$3</f>
        <v>9.8400000000000012E-10</v>
      </c>
      <c r="BS13" s="49">
        <f t="shared" ref="BS13:BS16" si="55">($E$3*BJ4)/($F$3^2)</f>
        <v>2.0135444579780739E-10</v>
      </c>
      <c r="BT13" s="21">
        <f t="shared" ref="BT13:BT16" si="56">SQRT((BR13*BK4)^2+(BS13*AM4)^2)</f>
        <v>5.4411004181092718E-12</v>
      </c>
    </row>
    <row r="14" spans="1:72">
      <c r="A14" s="61">
        <v>3600</v>
      </c>
      <c r="B14" s="64" t="s">
        <v>92</v>
      </c>
      <c r="C14" s="59">
        <v>14.962593516209401</v>
      </c>
      <c r="D14" s="61">
        <v>2</v>
      </c>
      <c r="E14" s="59">
        <v>25.602660016625101</v>
      </c>
      <c r="F14" s="61">
        <v>2</v>
      </c>
      <c r="AB14" s="49">
        <f t="shared" ref="AB14:AB17" si="57">($A$3)/(SQRT(2*$C$3*$B$3*I5*10^3))</f>
        <v>1.9638533330119516E-11</v>
      </c>
      <c r="AC14" s="49">
        <f t="shared" si="26"/>
        <v>2.5177606833486581E-15</v>
      </c>
      <c r="AD14" s="49">
        <f t="shared" si="27"/>
        <v>1.2588803416743291E-13</v>
      </c>
      <c r="AF14" s="1">
        <f t="shared" si="28"/>
        <v>2.2567644593461851E-11</v>
      </c>
      <c r="AG14" s="49">
        <f t="shared" si="29"/>
        <v>1.7040000000000001E-9</v>
      </c>
      <c r="AH14" s="49">
        <f t="shared" si="30"/>
        <v>1.8054115674769481E-10</v>
      </c>
      <c r="AI14" s="1">
        <f t="shared" si="31"/>
        <v>3.4080000000000004E-12</v>
      </c>
      <c r="AK14" s="1">
        <f t="shared" si="32"/>
        <v>2.4084492875104695E-11</v>
      </c>
      <c r="AL14" s="49">
        <f t="shared" si="33"/>
        <v>9.8400000000000012E-10</v>
      </c>
      <c r="AM14" s="49">
        <f t="shared" si="34"/>
        <v>1.9267594300083756E-10</v>
      </c>
      <c r="AN14" s="1">
        <f t="shared" si="35"/>
        <v>1.9680000000000001E-12</v>
      </c>
      <c r="AR14" s="49">
        <f t="shared" si="36"/>
        <v>2.0440433556346103E-11</v>
      </c>
      <c r="AS14" s="49">
        <f t="shared" si="37"/>
        <v>2.8389491050480746E-15</v>
      </c>
      <c r="AT14" s="49">
        <f t="shared" si="38"/>
        <v>1.4194745525240373E-13</v>
      </c>
      <c r="AV14" s="1">
        <f t="shared" si="39"/>
        <v>2.4149044585987105E-11</v>
      </c>
      <c r="AW14" s="49">
        <f t="shared" si="40"/>
        <v>1.7040000000000001E-9</v>
      </c>
      <c r="AX14" s="49">
        <f t="shared" si="41"/>
        <v>1.9319235668789684E-10</v>
      </c>
      <c r="AY14" s="1">
        <f t="shared" si="42"/>
        <v>4.3301157414902552E-12</v>
      </c>
      <c r="BA14" s="1">
        <f t="shared" si="43"/>
        <v>2.4913375796178327E-11</v>
      </c>
      <c r="BB14" s="49">
        <f t="shared" si="44"/>
        <v>9.8400000000000012E-10</v>
      </c>
      <c r="BC14" s="49">
        <f t="shared" si="45"/>
        <v>1.9930700636942661E-10</v>
      </c>
      <c r="BD14" s="1">
        <f t="shared" si="46"/>
        <v>3.3863389987569294E-12</v>
      </c>
      <c r="BH14" s="79">
        <f t="shared" ref="BH14:BH16" si="58">($A$3)/(SQRT(2*$C$3*$B$3*U5*10^3))</f>
        <v>1.9153556418772018E-11</v>
      </c>
      <c r="BI14" s="49">
        <f t="shared" si="47"/>
        <v>2.335799563264881E-15</v>
      </c>
      <c r="BJ14" s="49">
        <f t="shared" si="48"/>
        <v>1.1678997816324404E-13</v>
      </c>
      <c r="BL14" s="21">
        <f t="shared" si="49"/>
        <v>2.3560797071980367E-11</v>
      </c>
      <c r="BM14" s="49">
        <f t="shared" si="50"/>
        <v>1.7040000000000001E-9</v>
      </c>
      <c r="BN14" s="49">
        <f t="shared" si="51"/>
        <v>1.8848637657584294E-10</v>
      </c>
      <c r="BO14" s="21">
        <f t="shared" si="52"/>
        <v>5.6764796491944572E-12</v>
      </c>
      <c r="BQ14" s="21">
        <f t="shared" si="53"/>
        <v>2.4089792598617239E-11</v>
      </c>
      <c r="BR14" s="49">
        <f t="shared" si="54"/>
        <v>9.8400000000000012E-10</v>
      </c>
      <c r="BS14" s="49">
        <f t="shared" si="55"/>
        <v>1.9271834078893791E-10</v>
      </c>
      <c r="BT14" s="21">
        <f t="shared" si="56"/>
        <v>5.0415041855923582E-12</v>
      </c>
    </row>
    <row r="15" spans="1:72">
      <c r="A15" s="61">
        <v>3600</v>
      </c>
      <c r="B15" s="63" t="s">
        <v>82</v>
      </c>
      <c r="C15" s="59">
        <v>14.171974522292899</v>
      </c>
      <c r="D15" s="61">
        <v>2</v>
      </c>
      <c r="E15" s="59">
        <v>25.318471337579599</v>
      </c>
      <c r="F15" s="61">
        <v>2</v>
      </c>
      <c r="AB15" s="49">
        <f t="shared" si="57"/>
        <v>1.9271425570780514E-11</v>
      </c>
      <c r="AC15" s="49">
        <f t="shared" si="26"/>
        <v>2.3791883420716673E-15</v>
      </c>
      <c r="AD15" s="49">
        <f t="shared" si="27"/>
        <v>1.1895941710358337E-13</v>
      </c>
      <c r="AF15" s="1">
        <f t="shared" si="28"/>
        <v>2.3810101010100887E-11</v>
      </c>
      <c r="AG15" s="49">
        <f t="shared" si="29"/>
        <v>1.7040000000000001E-9</v>
      </c>
      <c r="AH15" s="49">
        <f t="shared" si="30"/>
        <v>1.9048080808080709E-10</v>
      </c>
      <c r="AI15" s="1">
        <f t="shared" si="31"/>
        <v>3.4080000000000004E-12</v>
      </c>
      <c r="AK15" s="1">
        <f t="shared" si="32"/>
        <v>2.4020202020202014E-11</v>
      </c>
      <c r="AL15" s="49">
        <f t="shared" si="33"/>
        <v>9.8400000000000012E-10</v>
      </c>
      <c r="AM15" s="49">
        <f t="shared" si="34"/>
        <v>1.9216161616161611E-10</v>
      </c>
      <c r="AN15" s="1">
        <f t="shared" si="35"/>
        <v>1.9680000000000001E-12</v>
      </c>
      <c r="AR15" s="49">
        <f t="shared" si="36"/>
        <v>2.0027452933724342E-11</v>
      </c>
      <c r="AS15" s="49">
        <f t="shared" si="37"/>
        <v>2.6703270578299118E-15</v>
      </c>
      <c r="AT15" s="49">
        <f t="shared" si="38"/>
        <v>1.3351635289149559E-13</v>
      </c>
      <c r="AV15" s="1">
        <f t="shared" si="39"/>
        <v>2.4897407698350313E-11</v>
      </c>
      <c r="AW15" s="49">
        <f t="shared" si="40"/>
        <v>1.7040000000000001E-9</v>
      </c>
      <c r="AX15" s="49">
        <f t="shared" si="41"/>
        <v>1.9917926158680251E-10</v>
      </c>
      <c r="AY15" s="1">
        <f t="shared" si="42"/>
        <v>4.3425865374018446E-12</v>
      </c>
      <c r="BA15" s="1">
        <f t="shared" si="43"/>
        <v>2.5508248232521563E-11</v>
      </c>
      <c r="BB15" s="49">
        <f t="shared" si="44"/>
        <v>9.8400000000000012E-10</v>
      </c>
      <c r="BC15" s="49">
        <f t="shared" si="45"/>
        <v>2.0406598586017251E-10</v>
      </c>
      <c r="BD15" s="1">
        <f t="shared" si="46"/>
        <v>3.3876852025734491E-12</v>
      </c>
      <c r="BH15" s="79">
        <f t="shared" si="58"/>
        <v>1.8595023226764655E-11</v>
      </c>
      <c r="BI15" s="49">
        <f t="shared" si="47"/>
        <v>2.1373589915821413E-15</v>
      </c>
      <c r="BJ15" s="49">
        <f t="shared" si="48"/>
        <v>1.0686794957910707E-13</v>
      </c>
      <c r="BL15" s="21">
        <f t="shared" si="49"/>
        <v>2.3025152625152608E-11</v>
      </c>
      <c r="BM15" s="49">
        <f t="shared" si="50"/>
        <v>1.7040000000000001E-9</v>
      </c>
      <c r="BN15" s="49">
        <f t="shared" si="51"/>
        <v>1.8420122100122086E-10</v>
      </c>
      <c r="BO15" s="21">
        <f t="shared" si="52"/>
        <v>5.5849003113973128E-12</v>
      </c>
      <c r="BQ15" s="21">
        <f t="shared" si="53"/>
        <v>2.4189499389499312E-11</v>
      </c>
      <c r="BR15" s="49">
        <f t="shared" si="54"/>
        <v>9.8400000000000012E-10</v>
      </c>
      <c r="BS15" s="49">
        <f t="shared" si="55"/>
        <v>1.9351599511599449E-10</v>
      </c>
      <c r="BT15" s="21">
        <f t="shared" si="56"/>
        <v>5.0477375697755158E-12</v>
      </c>
    </row>
    <row r="16" spans="1:72">
      <c r="A16" s="61">
        <v>3750</v>
      </c>
      <c r="B16" s="63" t="s">
        <v>82</v>
      </c>
      <c r="C16" s="59">
        <v>14.611154752553</v>
      </c>
      <c r="D16" s="61">
        <v>2</v>
      </c>
      <c r="E16" s="59">
        <v>25.923016496464999</v>
      </c>
      <c r="F16" s="61">
        <v>2</v>
      </c>
      <c r="AB16" s="49">
        <f t="shared" si="57"/>
        <v>1.8595023226764655E-11</v>
      </c>
      <c r="AC16" s="49">
        <f t="shared" si="26"/>
        <v>2.1373589915821417E-15</v>
      </c>
      <c r="AD16" s="49">
        <f t="shared" si="27"/>
        <v>1.0686794957910708E-13</v>
      </c>
      <c r="AF16" s="1">
        <f t="shared" si="28"/>
        <v>2.1939914163089966E-11</v>
      </c>
      <c r="AG16" s="49">
        <f t="shared" si="29"/>
        <v>1.7040000000000001E-9</v>
      </c>
      <c r="AH16" s="49">
        <f t="shared" si="30"/>
        <v>1.7551931330471973E-10</v>
      </c>
      <c r="AI16" s="1">
        <f t="shared" si="31"/>
        <v>3.4080000000000004E-12</v>
      </c>
      <c r="AK16" s="1">
        <f t="shared" si="32"/>
        <v>2.2467296137338989E-11</v>
      </c>
      <c r="AL16" s="49">
        <f t="shared" si="33"/>
        <v>9.8400000000000012E-10</v>
      </c>
      <c r="AM16" s="49">
        <f t="shared" si="34"/>
        <v>1.7973836909871191E-10</v>
      </c>
      <c r="AN16" s="1">
        <f t="shared" si="35"/>
        <v>1.9680000000000001E-12</v>
      </c>
      <c r="AR16" s="49">
        <f t="shared" si="36"/>
        <v>1.939149791981681E-11</v>
      </c>
      <c r="AS16" s="49">
        <f t="shared" si="37"/>
        <v>2.4239372399771015E-15</v>
      </c>
      <c r="AT16" s="49">
        <f t="shared" si="38"/>
        <v>1.2119686199885508E-13</v>
      </c>
      <c r="AV16" s="1">
        <f t="shared" si="39"/>
        <v>2.315217391304343E-11</v>
      </c>
      <c r="AW16" s="49">
        <f t="shared" si="40"/>
        <v>1.7040000000000001E-9</v>
      </c>
      <c r="AX16" s="49">
        <f t="shared" si="41"/>
        <v>1.8521739130434744E-10</v>
      </c>
      <c r="AY16" s="1">
        <f t="shared" si="42"/>
        <v>4.170829530359174E-12</v>
      </c>
      <c r="BA16" s="1">
        <f t="shared" si="43"/>
        <v>2.3931521739130394E-11</v>
      </c>
      <c r="BB16" s="49">
        <f t="shared" si="44"/>
        <v>9.8400000000000012E-10</v>
      </c>
      <c r="BC16" s="49">
        <f t="shared" si="45"/>
        <v>1.9145217391304315E-10</v>
      </c>
      <c r="BD16" s="1">
        <f t="shared" si="46"/>
        <v>3.1701977233131896E-12</v>
      </c>
      <c r="BH16" s="79">
        <f t="shared" si="58"/>
        <v>1.8282479568623062E-11</v>
      </c>
      <c r="BI16" s="49">
        <f t="shared" si="47"/>
        <v>2.0313866187358948E-15</v>
      </c>
      <c r="BJ16" s="49">
        <f t="shared" si="48"/>
        <v>1.0156933093679474E-13</v>
      </c>
      <c r="BL16" s="21">
        <f t="shared" si="49"/>
        <v>2.2120892494928848E-11</v>
      </c>
      <c r="BM16" s="49">
        <f t="shared" si="50"/>
        <v>1.7040000000000001E-9</v>
      </c>
      <c r="BN16" s="49">
        <f t="shared" si="51"/>
        <v>1.7696713995943079E-10</v>
      </c>
      <c r="BO16" s="21">
        <f t="shared" si="52"/>
        <v>5.2366808581744609E-12</v>
      </c>
      <c r="BQ16" s="21">
        <f t="shared" si="53"/>
        <v>2.2514239350912737E-11</v>
      </c>
      <c r="BR16" s="49">
        <f t="shared" si="54"/>
        <v>9.8400000000000012E-10</v>
      </c>
      <c r="BS16" s="49">
        <f t="shared" si="55"/>
        <v>1.801139148073019E-10</v>
      </c>
      <c r="BT16" s="21">
        <f t="shared" si="56"/>
        <v>4.4998426235666489E-12</v>
      </c>
    </row>
    <row r="17" spans="1:72">
      <c r="A17" s="61">
        <v>3800</v>
      </c>
      <c r="B17" s="62" t="s">
        <v>93</v>
      </c>
      <c r="C17" s="59">
        <v>14.5351197726349</v>
      </c>
      <c r="D17" s="61">
        <v>2</v>
      </c>
      <c r="E17" s="59">
        <v>25.57856272838</v>
      </c>
      <c r="F17" s="61">
        <v>2</v>
      </c>
      <c r="AB17" s="49">
        <f t="shared" si="57"/>
        <v>1.8282479568623062E-11</v>
      </c>
      <c r="AC17" s="49">
        <f t="shared" si="26"/>
        <v>2.0313866187358952E-15</v>
      </c>
      <c r="AD17" s="49">
        <f t="shared" si="27"/>
        <v>1.0156933093679476E-13</v>
      </c>
      <c r="AF17" s="1">
        <f t="shared" si="28"/>
        <v>2.2037361201828758E-11</v>
      </c>
      <c r="AG17" s="49">
        <f t="shared" si="29"/>
        <v>1.7040000000000001E-9</v>
      </c>
      <c r="AH17" s="49">
        <f t="shared" si="30"/>
        <v>1.7629888961463007E-10</v>
      </c>
      <c r="AI17" s="1">
        <f t="shared" si="31"/>
        <v>3.4080000000000004E-12</v>
      </c>
      <c r="AK17" s="1">
        <f t="shared" si="32"/>
        <v>2.2366557805355946E-11</v>
      </c>
      <c r="AL17" s="49">
        <f t="shared" si="33"/>
        <v>9.8400000000000012E-10</v>
      </c>
      <c r="AM17" s="49">
        <f t="shared" si="34"/>
        <v>1.7893246244284756E-10</v>
      </c>
      <c r="AN17" s="1">
        <f t="shared" si="35"/>
        <v>1.9680000000000001E-12</v>
      </c>
      <c r="AR17" s="49">
        <f t="shared" si="36"/>
        <v>1.8924164234530555E-11</v>
      </c>
      <c r="AS17" s="49">
        <f t="shared" si="37"/>
        <v>2.2528766945869704E-15</v>
      </c>
      <c r="AT17" s="49">
        <f t="shared" si="38"/>
        <v>1.1264383472934852E-13</v>
      </c>
      <c r="AV17" s="1">
        <f t="shared" si="39"/>
        <v>2.2983106267029926E-11</v>
      </c>
      <c r="AW17" s="49">
        <f t="shared" si="40"/>
        <v>1.7040000000000001E-9</v>
      </c>
      <c r="AX17" s="49">
        <f t="shared" si="41"/>
        <v>1.8386485013623941E-10</v>
      </c>
      <c r="AY17" s="1">
        <f t="shared" si="42"/>
        <v>3.4080000000000004E-12</v>
      </c>
      <c r="BA17" s="1">
        <f t="shared" si="43"/>
        <v>2.3594550408719268E-11</v>
      </c>
      <c r="BB17" s="49">
        <f t="shared" si="44"/>
        <v>9.8400000000000012E-10</v>
      </c>
      <c r="BC17" s="49">
        <f t="shared" si="45"/>
        <v>1.8875640326975414E-10</v>
      </c>
      <c r="BD17" s="1">
        <f t="shared" si="46"/>
        <v>1.9680000000000001E-12</v>
      </c>
      <c r="BH17" s="26"/>
      <c r="BI17" s="26"/>
      <c r="BJ17" s="26"/>
      <c r="BM17" s="26"/>
      <c r="BN17" s="26"/>
      <c r="BR17" s="26"/>
      <c r="BS17" s="26"/>
    </row>
    <row r="18" spans="1:72">
      <c r="A18" s="61">
        <v>3900</v>
      </c>
      <c r="B18" s="64" t="s">
        <v>92</v>
      </c>
      <c r="C18" s="59">
        <v>13.243922883487</v>
      </c>
      <c r="D18" s="61">
        <v>2</v>
      </c>
      <c r="E18" s="59">
        <v>24.4761106454316</v>
      </c>
      <c r="F18" s="61">
        <v>2</v>
      </c>
      <c r="AR18" s="49">
        <f t="shared" si="36"/>
        <v>1.8181748887077827E-11</v>
      </c>
      <c r="AS18" s="49">
        <f>($A$3)/SQRT(8*$B$3*$C$3)*(O9*10^3)^(-3/2)</f>
        <v>1.997994383195367E-15</v>
      </c>
      <c r="AT18" s="49">
        <f>AS18*(P9*10^3)</f>
        <v>9.9899719159768355E-14</v>
      </c>
      <c r="AV18" s="1">
        <f t="shared" si="39"/>
        <v>2.089689629068875E-11</v>
      </c>
      <c r="AW18" s="49">
        <f t="shared" si="40"/>
        <v>1.7040000000000001E-9</v>
      </c>
      <c r="AX18" s="49">
        <f t="shared" si="41"/>
        <v>1.6717517032551E-10</v>
      </c>
      <c r="AY18" s="1">
        <f t="shared" si="42"/>
        <v>3.4080000000000004E-12</v>
      </c>
      <c r="BA18" s="1">
        <f t="shared" si="43"/>
        <v>2.2346707040121033E-11</v>
      </c>
      <c r="BB18" s="49">
        <f t="shared" si="44"/>
        <v>9.8400000000000012E-10</v>
      </c>
      <c r="BC18" s="49">
        <f t="shared" si="45"/>
        <v>1.7877365632096827E-10</v>
      </c>
      <c r="BD18" s="1">
        <f>SQRT((BB18*AU9)^2+(BC18*W9)^2)</f>
        <v>1.9680000000000001E-12</v>
      </c>
    </row>
    <row r="19" spans="1:72">
      <c r="A19" s="61">
        <v>4000</v>
      </c>
      <c r="B19" s="63" t="s">
        <v>82</v>
      </c>
      <c r="C19" s="59">
        <v>13.586956521739101</v>
      </c>
      <c r="D19" s="61">
        <v>2</v>
      </c>
      <c r="E19" s="59">
        <v>24.320652173913</v>
      </c>
      <c r="F19" s="61">
        <v>2</v>
      </c>
    </row>
    <row r="20" spans="1:72">
      <c r="A20" s="61">
        <v>4050</v>
      </c>
      <c r="B20" s="64" t="s">
        <v>92</v>
      </c>
      <c r="C20" s="59">
        <v>13.973063973063899</v>
      </c>
      <c r="D20" s="61">
        <v>2</v>
      </c>
      <c r="E20" s="59">
        <v>24.410774410774401</v>
      </c>
      <c r="F20" s="61">
        <v>2</v>
      </c>
    </row>
    <row r="21" spans="1:72">
      <c r="A21" s="61">
        <v>4100</v>
      </c>
      <c r="B21" s="62" t="s">
        <v>93</v>
      </c>
      <c r="C21" s="59">
        <v>13.826758845058899</v>
      </c>
      <c r="D21" s="61">
        <v>2</v>
      </c>
      <c r="E21" s="59">
        <v>24.4814965433102</v>
      </c>
      <c r="F21" s="61">
        <v>2</v>
      </c>
      <c r="AR21" s="92" t="s">
        <v>94</v>
      </c>
      <c r="AS21" s="93"/>
      <c r="AT21" s="94"/>
      <c r="AV21" s="89" t="s">
        <v>95</v>
      </c>
      <c r="AW21" s="89"/>
      <c r="AX21" s="89"/>
      <c r="AY21" s="89"/>
      <c r="AZ21" s="89"/>
      <c r="BA21" s="88" t="s">
        <v>96</v>
      </c>
      <c r="BB21" s="88"/>
      <c r="BH21" s="92" t="s">
        <v>97</v>
      </c>
      <c r="BI21" s="93"/>
      <c r="BJ21" s="94"/>
      <c r="BL21" s="89" t="s">
        <v>95</v>
      </c>
      <c r="BM21" s="89"/>
      <c r="BN21" s="89"/>
      <c r="BO21" s="89"/>
      <c r="BP21" s="89"/>
      <c r="BQ21" s="88" t="s">
        <v>96</v>
      </c>
      <c r="BR21" s="88"/>
      <c r="BT21" s="21" t="s">
        <v>98</v>
      </c>
    </row>
    <row r="22" spans="1:72">
      <c r="A22" s="61">
        <v>4200</v>
      </c>
      <c r="B22" s="63" t="s">
        <v>82</v>
      </c>
      <c r="C22" s="59">
        <v>13.4877384196185</v>
      </c>
      <c r="D22" s="61">
        <v>2</v>
      </c>
      <c r="E22" s="59">
        <v>23.978201634877301</v>
      </c>
      <c r="F22" s="61">
        <v>2</v>
      </c>
      <c r="AB22" s="92" t="s">
        <v>99</v>
      </c>
      <c r="AC22" s="93"/>
      <c r="AD22" s="94"/>
      <c r="AF22" s="89" t="s">
        <v>95</v>
      </c>
      <c r="AG22" s="89"/>
      <c r="AH22" s="89"/>
      <c r="AI22" s="89"/>
      <c r="AJ22" s="89"/>
      <c r="AK22" s="88" t="s">
        <v>96</v>
      </c>
      <c r="AL22" s="88"/>
      <c r="AR22" s="3">
        <f>(AY3/BA3)^2</f>
        <v>0.57166265283977824</v>
      </c>
      <c r="AS22" s="3">
        <f t="shared" ref="AS22:AS27" si="59">(AY3/BC3)^2</f>
        <v>0.66175006595758912</v>
      </c>
      <c r="AV22" s="49" t="s">
        <v>4</v>
      </c>
      <c r="AW22" s="21" t="s">
        <v>64</v>
      </c>
      <c r="AX22" s="21" t="s">
        <v>100</v>
      </c>
      <c r="AY22" s="21" t="s">
        <v>65</v>
      </c>
      <c r="AZ22" s="21" t="s">
        <v>101</v>
      </c>
      <c r="BA22" s="21" t="s">
        <v>102</v>
      </c>
      <c r="BB22" s="21" t="s">
        <v>101</v>
      </c>
      <c r="BH22" s="3">
        <f>(BO3/BT22)^2</f>
        <v>0.58949882681201682</v>
      </c>
      <c r="BI22" s="3"/>
      <c r="BJ22" s="3">
        <f>AVERAGE(BH22:BH26)</f>
        <v>0.63244277842783436</v>
      </c>
      <c r="BL22" s="49" t="s">
        <v>4</v>
      </c>
      <c r="BM22" s="21" t="s">
        <v>64</v>
      </c>
      <c r="BN22" s="21" t="s">
        <v>100</v>
      </c>
      <c r="BO22" s="21" t="s">
        <v>65</v>
      </c>
      <c r="BP22" s="21" t="s">
        <v>101</v>
      </c>
      <c r="BQ22" s="21" t="s">
        <v>102</v>
      </c>
      <c r="BR22" s="21" t="s">
        <v>101</v>
      </c>
      <c r="BT22" s="26">
        <f>(BQ3+BS3)/2</f>
        <v>2.7394313566206314E-2</v>
      </c>
    </row>
    <row r="23" spans="1:72">
      <c r="A23" s="61">
        <v>4350</v>
      </c>
      <c r="B23" s="64" t="s">
        <v>92</v>
      </c>
      <c r="C23" s="59">
        <v>12.8755364806866</v>
      </c>
      <c r="D23" s="61">
        <v>2</v>
      </c>
      <c r="E23" s="59">
        <v>22.832618025751</v>
      </c>
      <c r="F23" s="61">
        <v>2</v>
      </c>
      <c r="AB23" s="3" t="e" vm="1">
        <f t="shared" ref="AB23:AB28" ca="1" si="60">(AI3/AK3)^2</f>
        <v>#VALUE!</v>
      </c>
      <c r="AC23" s="3" t="e" vm="1">
        <f t="shared" ref="AC23:AC28" ca="1" si="61">(AI3/AM3)^2</f>
        <v>#VALUE!</v>
      </c>
      <c r="AF23" s="49" t="s">
        <v>4</v>
      </c>
      <c r="AG23" s="21" t="s">
        <v>64</v>
      </c>
      <c r="AH23" s="21" t="s">
        <v>100</v>
      </c>
      <c r="AI23" s="21" t="s">
        <v>65</v>
      </c>
      <c r="AJ23" s="21" t="s">
        <v>101</v>
      </c>
      <c r="AK23" s="21" t="s">
        <v>102</v>
      </c>
      <c r="AL23" s="21" t="s">
        <v>101</v>
      </c>
      <c r="AR23" s="3">
        <f t="shared" ref="AR23:AR27" si="62">(AY4/BA4)^2</f>
        <v>0.69027144928508632</v>
      </c>
      <c r="AS23" s="3">
        <f t="shared" si="59"/>
        <v>0.66825706513974292</v>
      </c>
      <c r="AV23" s="21">
        <f>AW3*10^3</f>
        <v>2900</v>
      </c>
      <c r="AW23" s="49">
        <f>($F$3*$A$3)/($D$3*SQRT(2*$B$3*$C$3*AV23))</f>
        <v>1.3365116977926928E-2</v>
      </c>
      <c r="AX23" s="54">
        <f>AW23*10^3</f>
        <v>13.365116977926929</v>
      </c>
      <c r="AY23" s="49">
        <f>($F$3*$A$3)/($E$3*SQRT(2*$B$3*$C$3*AV23))</f>
        <v>2.3144470864214922E-2</v>
      </c>
      <c r="AZ23" s="54">
        <f>AY23*10^3</f>
        <v>23.144470864214924</v>
      </c>
      <c r="BA23" s="21">
        <f>AR3*10^3</f>
        <v>17.6767676767676</v>
      </c>
      <c r="BB23" s="21">
        <f>AT3*10^3</f>
        <v>28.4511784511784</v>
      </c>
      <c r="BH23" s="3">
        <f>(BO4/BT23)^2</f>
        <v>0.63490916996178626</v>
      </c>
      <c r="BI23" s="3"/>
      <c r="BL23" s="21">
        <f>BM3*10^3</f>
        <v>3400</v>
      </c>
      <c r="BM23" s="49">
        <f>($F$3*$A$3)/($D$3*SQRT(2*$B$3*$C$3*BL23))</f>
        <v>1.234332899511555E-2</v>
      </c>
      <c r="BN23" s="54">
        <f>BM23*10^3</f>
        <v>12.34332899511555</v>
      </c>
      <c r="BO23" s="49">
        <f>($F$3*$A$3)/($E$3*SQRT(2*$B$3*$C$3*BL23))</f>
        <v>2.1375033137883026E-2</v>
      </c>
      <c r="BP23" s="54">
        <f>BO23*10^3</f>
        <v>21.375033137883026</v>
      </c>
      <c r="BQ23" s="55">
        <f>BH3*10^3</f>
        <v>15.922014622258303</v>
      </c>
      <c r="BR23" s="55">
        <f>BJ3*10^3</f>
        <v>28.107229894394798</v>
      </c>
      <c r="BT23" s="26">
        <f>(BQ4+BS4)/2</f>
        <v>2.49685749086479E-2</v>
      </c>
    </row>
    <row r="24" spans="1:72">
      <c r="A24" s="61">
        <v>4350</v>
      </c>
      <c r="B24" s="62" t="s">
        <v>93</v>
      </c>
      <c r="C24" s="59">
        <v>13.512413512413501</v>
      </c>
      <c r="D24" s="61">
        <v>2</v>
      </c>
      <c r="E24" s="59">
        <v>24.5828245828245</v>
      </c>
      <c r="F24" s="61">
        <v>2</v>
      </c>
      <c r="AB24" s="3">
        <f t="shared" si="60"/>
        <v>0.64272807410106814</v>
      </c>
      <c r="AC24" s="3">
        <f>(AI4/AM4)^2</f>
        <v>0.65829390085127826</v>
      </c>
      <c r="AF24" s="21">
        <f>AG3*10^3</f>
        <v>3300</v>
      </c>
      <c r="AG24" s="49">
        <f>($F$3*$A$3)/($D$3*SQRT(2*$B$3*$C$3*AF24))</f>
        <v>1.2528953381010271E-2</v>
      </c>
      <c r="AH24" s="54">
        <f>AG24*10^3</f>
        <v>12.52895338101027</v>
      </c>
      <c r="AI24" s="49">
        <f>($F$3*$A$3)/($E$3*SQRT(2*$B$3*$C$3*AF24))</f>
        <v>2.1696480245164129E-2</v>
      </c>
      <c r="AJ24" s="54">
        <f>AI24*10^3</f>
        <v>21.696480245164128</v>
      </c>
      <c r="AK24" s="21">
        <f t="shared" ref="AK24:AK29" si="63">AB3*10^3</f>
        <v>14.8333333333333</v>
      </c>
      <c r="AL24" s="21">
        <f>AD3*10^3</f>
        <v>22.8333333333333</v>
      </c>
      <c r="AR24" s="3">
        <f t="shared" si="62"/>
        <v>0.71644078297688552</v>
      </c>
      <c r="AS24" s="3">
        <f t="shared" si="59"/>
        <v>0.67315495743181741</v>
      </c>
      <c r="AV24" s="21">
        <f t="shared" ref="AV24:AV28" si="64">AW4*10^3</f>
        <v>3200</v>
      </c>
      <c r="AW24" s="49">
        <f t="shared" ref="AW24:AW29" si="65">($F$3*$A$3)/($D$3*SQRT(2*$B$3*$C$3*AV24))</f>
        <v>1.2723212304652629E-2</v>
      </c>
      <c r="AX24" s="54">
        <f t="shared" ref="AX24:AX29" si="66">AW24*10^3</f>
        <v>12.723212304652629</v>
      </c>
      <c r="AY24" s="49">
        <f t="shared" ref="AY24:AY29" si="67">($F$3*$A$3)/($E$3*SQRT(2*$B$3*$C$3*AV24))</f>
        <v>2.2032879844642354E-2</v>
      </c>
      <c r="AZ24" s="54">
        <f t="shared" ref="AZ24:AZ29" si="68">AY24*10^3</f>
        <v>22.032879844642355</v>
      </c>
      <c r="BA24" s="21">
        <f t="shared" ref="BA24:BA29" si="69">AR4*10^3</f>
        <v>15.313935681470102</v>
      </c>
      <c r="BB24" s="21">
        <f t="shared" ref="BB24:BB29" si="70">AT4*10^3</f>
        <v>26.9525267993874</v>
      </c>
      <c r="BH24" s="3">
        <f>(BO5/BT24)^2</f>
        <v>0.64628233170782168</v>
      </c>
      <c r="BI24" s="3"/>
      <c r="BL24" s="21">
        <f t="shared" ref="BL24" si="71">BM4*10^3</f>
        <v>3800</v>
      </c>
      <c r="BM24" s="49">
        <f t="shared" ref="BM24:BM27" si="72">($F$3*$A$3)/($D$3*SQRT(2*$B$3*$C$3*BL24))</f>
        <v>1.1675620352251375E-2</v>
      </c>
      <c r="BN24" s="54">
        <f t="shared" ref="BN24:BN27" si="73">BM24*10^3</f>
        <v>11.675620352251375</v>
      </c>
      <c r="BO24" s="49">
        <f>($F$3*$A$3)/($E$3*SQRT(2*$B$3*$C$3*BL24))</f>
        <v>2.0218757195362133E-2</v>
      </c>
      <c r="BP24" s="54">
        <f t="shared" ref="BP24:BP27" si="74">BO24*10^3</f>
        <v>20.218757195362134</v>
      </c>
      <c r="BQ24" s="55">
        <f t="shared" ref="BQ24:BQ26" si="75">BH4*10^3</f>
        <v>14.5351197726349</v>
      </c>
      <c r="BR24" s="55">
        <f t="shared" ref="BR24:BR27" si="76">BJ4*10^3</f>
        <v>25.57856272838</v>
      </c>
      <c r="BT24" s="26">
        <f>(BQ5+BS5)/2</f>
        <v>2.3825294835298803E-2</v>
      </c>
    </row>
    <row r="25" spans="1:72">
      <c r="A25" s="61">
        <v>4500</v>
      </c>
      <c r="B25" s="64" t="s">
        <v>92</v>
      </c>
      <c r="C25" s="59">
        <v>12.9327237099934</v>
      </c>
      <c r="D25" s="61">
        <v>2</v>
      </c>
      <c r="E25" s="59">
        <v>22.730241672109699</v>
      </c>
      <c r="F25" s="61">
        <v>2</v>
      </c>
      <c r="AB25" s="3">
        <f t="shared" si="60"/>
        <v>0.75726107358767758</v>
      </c>
      <c r="AC25" s="3">
        <f t="shared" si="61"/>
        <v>0.66487972219381419</v>
      </c>
      <c r="AF25" s="21">
        <f t="shared" ref="AF25:AF29" si="77">AG4*10^3</f>
        <v>3600</v>
      </c>
      <c r="AG25" s="49">
        <f t="shared" ref="AG25:AG29" si="78">($F$3*$A$3)/($D$3*SQRT(2*$B$3*$C$3*AF25))</f>
        <v>1.1995559598794659E-2</v>
      </c>
      <c r="AH25" s="54">
        <f t="shared" ref="AH25:AH29" si="79">AG25*10^3</f>
        <v>11.995559598794658</v>
      </c>
      <c r="AI25" s="49">
        <f t="shared" ref="AI25:AI29" si="80">($F$3*$A$3)/($E$3*SQRT(2*$B$3*$C$3*AF25))</f>
        <v>2.0772798329620021E-2</v>
      </c>
      <c r="AJ25" s="54">
        <f t="shared" ref="AJ25:AJ29" si="81">AI25*10^3</f>
        <v>20.77279832962002</v>
      </c>
      <c r="AK25" s="21">
        <f t="shared" si="63"/>
        <v>14.962593516209401</v>
      </c>
      <c r="AL25" s="21">
        <f t="shared" ref="AL25:AL29" si="82">AD4*10^3</f>
        <v>25.602660016625105</v>
      </c>
      <c r="AR25" s="3">
        <f t="shared" si="62"/>
        <v>0.64705795012983069</v>
      </c>
      <c r="AS25" s="3">
        <f t="shared" si="59"/>
        <v>0.61643908941782999</v>
      </c>
      <c r="AV25" s="21">
        <f t="shared" si="64"/>
        <v>3600</v>
      </c>
      <c r="AW25" s="49">
        <f t="shared" si="65"/>
        <v>1.1995559598794659E-2</v>
      </c>
      <c r="AX25" s="54">
        <f t="shared" si="66"/>
        <v>11.995559598794658</v>
      </c>
      <c r="AY25" s="49">
        <f t="shared" si="67"/>
        <v>2.0772798329620021E-2</v>
      </c>
      <c r="AZ25" s="54">
        <f t="shared" si="68"/>
        <v>20.77279832962002</v>
      </c>
      <c r="BA25" s="21">
        <f t="shared" si="69"/>
        <v>14.171974522292901</v>
      </c>
      <c r="BB25" s="21">
        <f t="shared" si="70"/>
        <v>25.318471337579599</v>
      </c>
      <c r="BH25" s="3">
        <f>(BO6/BT25)^2</f>
        <v>0.62044009452575855</v>
      </c>
      <c r="BI25" s="3"/>
      <c r="BL25" s="21">
        <f t="shared" ref="BL25" si="83">BM5*10^3</f>
        <v>4100</v>
      </c>
      <c r="BM25" s="49">
        <f t="shared" si="72"/>
        <v>1.1240350011016441E-2</v>
      </c>
      <c r="BN25" s="54">
        <f t="shared" si="73"/>
        <v>11.24035001101644</v>
      </c>
      <c r="BO25" s="49">
        <f t="shared" ref="BO25:BO27" si="84">($F$3*$A$3)/($E$3*SQRT(2*$B$3*$C$3*BL25))</f>
        <v>1.9464996360540662E-2</v>
      </c>
      <c r="BP25" s="54">
        <f t="shared" si="74"/>
        <v>19.464996360540663</v>
      </c>
      <c r="BQ25" s="55">
        <f t="shared" si="75"/>
        <v>13.826758845058899</v>
      </c>
      <c r="BR25" s="55">
        <f t="shared" si="76"/>
        <v>24.4814965433102</v>
      </c>
      <c r="BT25" s="26">
        <f>(BQ6+BS6)/2</f>
        <v>2.3607326007325957E-2</v>
      </c>
    </row>
    <row r="26" spans="1:72">
      <c r="A26" s="61">
        <v>4500</v>
      </c>
      <c r="B26" s="62" t="s">
        <v>93</v>
      </c>
      <c r="C26" s="59">
        <v>12.981744421906599</v>
      </c>
      <c r="D26" s="61">
        <v>2</v>
      </c>
      <c r="E26" s="59">
        <v>22.880324543610499</v>
      </c>
      <c r="F26" s="61">
        <v>2</v>
      </c>
      <c r="AB26" s="3">
        <f t="shared" si="60"/>
        <v>0.65509639335279013</v>
      </c>
      <c r="AC26" s="3">
        <f t="shared" si="61"/>
        <v>0.64368645836746363</v>
      </c>
      <c r="AF26" s="21">
        <f t="shared" si="77"/>
        <v>3900</v>
      </c>
      <c r="AG26" s="49">
        <f>($F$3*$A$3)/($D$3*SQRT(2*$B$3*$C$3*AF26))</f>
        <v>1.1524960874483283E-2</v>
      </c>
      <c r="AH26" s="54">
        <f>AG26*10^3</f>
        <v>11.524960874483284</v>
      </c>
      <c r="AI26" s="49">
        <f t="shared" si="80"/>
        <v>1.995785907532471E-2</v>
      </c>
      <c r="AJ26" s="54">
        <f t="shared" si="81"/>
        <v>19.957859075324709</v>
      </c>
      <c r="AK26" s="21">
        <f t="shared" si="63"/>
        <v>13.243922883487</v>
      </c>
      <c r="AL26" s="21">
        <f t="shared" si="82"/>
        <v>24.4761106454316</v>
      </c>
      <c r="AR26" s="3">
        <f t="shared" si="62"/>
        <v>0.70151855705097022</v>
      </c>
      <c r="AS26" s="3">
        <f t="shared" si="59"/>
        <v>0.65657158853520892</v>
      </c>
      <c r="AV26" s="21">
        <f t="shared" si="64"/>
        <v>3750</v>
      </c>
      <c r="AW26" s="49">
        <f t="shared" si="65"/>
        <v>1.1753200078476725E-2</v>
      </c>
      <c r="AX26" s="54">
        <f t="shared" si="66"/>
        <v>11.753200078476725</v>
      </c>
      <c r="AY26" s="49">
        <f t="shared" si="67"/>
        <v>2.0353102574923111E-2</v>
      </c>
      <c r="AZ26" s="54">
        <f t="shared" si="68"/>
        <v>20.35310257492311</v>
      </c>
      <c r="BA26" s="21">
        <f t="shared" si="69"/>
        <v>14.611154752553</v>
      </c>
      <c r="BB26" s="21">
        <f t="shared" si="70"/>
        <v>25.923016496465003</v>
      </c>
      <c r="BH26" s="3">
        <f>(BO7/BT26)^2</f>
        <v>0.67108346913178818</v>
      </c>
      <c r="BI26" s="3"/>
      <c r="BL26" s="21">
        <f t="shared" ref="BL26" si="85">BM6*10^3</f>
        <v>4350</v>
      </c>
      <c r="BM26" s="49">
        <f t="shared" si="72"/>
        <v>1.0912572316176438E-2</v>
      </c>
      <c r="BN26" s="54">
        <f t="shared" si="73"/>
        <v>10.912572316176439</v>
      </c>
      <c r="BO26" s="49">
        <f t="shared" si="84"/>
        <v>1.8897381328012858E-2</v>
      </c>
      <c r="BP26" s="54">
        <f t="shared" si="74"/>
        <v>18.897381328012859</v>
      </c>
      <c r="BQ26" s="55">
        <f t="shared" si="75"/>
        <v>13.512413512413502</v>
      </c>
      <c r="BR26" s="55">
        <f t="shared" si="76"/>
        <v>24.5828245828245</v>
      </c>
      <c r="BT26" s="26">
        <f>(BQ7+BS7)/2</f>
        <v>2.2317565922920793E-2</v>
      </c>
    </row>
    <row r="27" spans="1:72">
      <c r="A27" s="61">
        <v>4550</v>
      </c>
      <c r="B27" s="63" t="s">
        <v>82</v>
      </c>
      <c r="C27" s="59">
        <v>12.263436790310299</v>
      </c>
      <c r="D27" s="61">
        <v>2</v>
      </c>
      <c r="E27" s="59">
        <v>22.710068130204299</v>
      </c>
      <c r="F27" s="61">
        <v>2</v>
      </c>
      <c r="AB27" s="3">
        <f t="shared" si="60"/>
        <v>0.71832933442209557</v>
      </c>
      <c r="AC27" s="3">
        <f t="shared" si="61"/>
        <v>0.68500198647913824</v>
      </c>
      <c r="AF27" s="21">
        <f t="shared" si="77"/>
        <v>4050</v>
      </c>
      <c r="AG27" s="49">
        <f t="shared" si="78"/>
        <v>1.1309522048580113E-2</v>
      </c>
      <c r="AH27" s="54">
        <f t="shared" si="79"/>
        <v>11.309522048580114</v>
      </c>
      <c r="AI27" s="49">
        <f t="shared" si="80"/>
        <v>1.9584782084126538E-2</v>
      </c>
      <c r="AJ27" s="54">
        <f t="shared" si="81"/>
        <v>19.584782084126537</v>
      </c>
      <c r="AK27" s="21">
        <f t="shared" si="63"/>
        <v>13.973063973063899</v>
      </c>
      <c r="AL27" s="21">
        <f t="shared" si="82"/>
        <v>24.410774410774401</v>
      </c>
      <c r="AR27" s="3">
        <f t="shared" si="62"/>
        <v>0.67797857007947249</v>
      </c>
      <c r="AS27" s="3">
        <f t="shared" si="59"/>
        <v>0.64329474576475354</v>
      </c>
      <c r="AV27" s="21">
        <f t="shared" si="64"/>
        <v>4000</v>
      </c>
      <c r="AW27" s="49">
        <f t="shared" si="65"/>
        <v>1.1379987042146015E-2</v>
      </c>
      <c r="AX27" s="54">
        <f t="shared" si="66"/>
        <v>11.379987042146015</v>
      </c>
      <c r="AY27" s="49">
        <f t="shared" si="67"/>
        <v>1.9706806829082123E-2</v>
      </c>
      <c r="AZ27" s="54">
        <f t="shared" si="68"/>
        <v>19.706806829082122</v>
      </c>
      <c r="BA27" s="21">
        <f t="shared" si="69"/>
        <v>13.586956521739101</v>
      </c>
      <c r="BB27" s="21">
        <f t="shared" si="70"/>
        <v>24.320652173913</v>
      </c>
      <c r="BL27" s="21">
        <f t="shared" ref="BL27" si="86">BM7*10^3</f>
        <v>4500</v>
      </c>
      <c r="BM27" s="49">
        <f t="shared" si="72"/>
        <v>1.0729154676421986E-2</v>
      </c>
      <c r="BN27" s="54">
        <f t="shared" si="73"/>
        <v>10.729154676421986</v>
      </c>
      <c r="BO27" s="49">
        <f t="shared" si="84"/>
        <v>1.8579755659169778E-2</v>
      </c>
      <c r="BP27" s="54">
        <f t="shared" si="74"/>
        <v>18.579755659169777</v>
      </c>
      <c r="BQ27" s="55">
        <f>BH7*10^3</f>
        <v>12.981744421906599</v>
      </c>
      <c r="BR27" s="55">
        <f t="shared" si="76"/>
        <v>22.880324543610502</v>
      </c>
      <c r="BT27" s="26"/>
    </row>
    <row r="28" spans="1:72">
      <c r="A28" s="91" t="s">
        <v>103</v>
      </c>
      <c r="B28" s="91"/>
      <c r="C28" s="91"/>
      <c r="D28" s="91"/>
      <c r="E28" s="91"/>
      <c r="F28" s="91"/>
      <c r="AB28" s="3">
        <f t="shared" si="60"/>
        <v>0.68825759649479057</v>
      </c>
      <c r="AC28" s="3">
        <f t="shared" si="61"/>
        <v>0.66814679599793791</v>
      </c>
      <c r="AF28" s="21">
        <f t="shared" si="77"/>
        <v>4350</v>
      </c>
      <c r="AG28" s="49">
        <f t="shared" si="78"/>
        <v>1.0912572316176438E-2</v>
      </c>
      <c r="AH28" s="54">
        <f t="shared" si="79"/>
        <v>10.912572316176439</v>
      </c>
      <c r="AI28" s="49">
        <f t="shared" si="80"/>
        <v>1.8897381328012858E-2</v>
      </c>
      <c r="AJ28" s="54">
        <f t="shared" si="81"/>
        <v>18.897381328012859</v>
      </c>
      <c r="AK28" s="21">
        <f t="shared" si="63"/>
        <v>12.8755364806866</v>
      </c>
      <c r="AL28" s="21">
        <f t="shared" si="82"/>
        <v>22.832618025751</v>
      </c>
      <c r="AV28" s="21">
        <f t="shared" si="64"/>
        <v>4200</v>
      </c>
      <c r="AW28" s="49">
        <f t="shared" si="65"/>
        <v>1.1105730184583659E-2</v>
      </c>
      <c r="AX28" s="54">
        <f t="shared" si="66"/>
        <v>11.105730184583658</v>
      </c>
      <c r="AY28" s="49">
        <f t="shared" si="67"/>
        <v>1.9231874222083896E-2</v>
      </c>
      <c r="AZ28" s="54">
        <f t="shared" si="68"/>
        <v>19.231874222083896</v>
      </c>
      <c r="BA28" s="21">
        <f t="shared" si="69"/>
        <v>13.4877384196185</v>
      </c>
      <c r="BB28" s="21">
        <f t="shared" si="70"/>
        <v>23.978201634877301</v>
      </c>
      <c r="BM28" s="26"/>
      <c r="BN28" s="3"/>
      <c r="BO28" s="26"/>
      <c r="BP28" s="3"/>
    </row>
    <row r="29" spans="1:72">
      <c r="AB29" s="3"/>
      <c r="AF29" s="21">
        <f t="shared" si="77"/>
        <v>4500</v>
      </c>
      <c r="AG29" s="49">
        <f t="shared" si="78"/>
        <v>1.0729154676421986E-2</v>
      </c>
      <c r="AH29" s="54">
        <f t="shared" si="79"/>
        <v>10.729154676421986</v>
      </c>
      <c r="AI29" s="49">
        <f t="shared" si="80"/>
        <v>1.8579755659169778E-2</v>
      </c>
      <c r="AJ29" s="54">
        <f t="shared" si="81"/>
        <v>18.579755659169777</v>
      </c>
      <c r="AK29" s="21">
        <f t="shared" si="63"/>
        <v>12.9327237099934</v>
      </c>
      <c r="AL29" s="21">
        <f t="shared" si="82"/>
        <v>22.730241672109699</v>
      </c>
      <c r="AV29" s="21">
        <f>AW9*10^3</f>
        <v>4550</v>
      </c>
      <c r="AW29" s="49">
        <f t="shared" si="65"/>
        <v>1.0670040426688865E-2</v>
      </c>
      <c r="AX29" s="54">
        <f t="shared" si="66"/>
        <v>10.670040426688866</v>
      </c>
      <c r="AY29" s="49">
        <f t="shared" si="67"/>
        <v>1.8477387080363644E-2</v>
      </c>
      <c r="AZ29" s="54">
        <f t="shared" si="68"/>
        <v>18.477387080363645</v>
      </c>
      <c r="BA29" s="21">
        <f t="shared" si="69"/>
        <v>12.263436790310299</v>
      </c>
      <c r="BB29" s="21">
        <f t="shared" si="70"/>
        <v>22.710068130204299</v>
      </c>
      <c r="BM29" s="26"/>
      <c r="BN29" s="3"/>
      <c r="BO29" s="26"/>
      <c r="BP29" s="3"/>
    </row>
    <row r="30" spans="1:72">
      <c r="A30" t="s">
        <v>104</v>
      </c>
      <c r="AB30" s="26"/>
    </row>
    <row r="31" spans="1:72">
      <c r="A31" s="58" t="s">
        <v>105</v>
      </c>
      <c r="B31" s="58" t="s">
        <v>106</v>
      </c>
      <c r="F31" t="s">
        <v>107</v>
      </c>
    </row>
    <row r="32" spans="1:72">
      <c r="A32" s="59">
        <v>1</v>
      </c>
      <c r="B32" s="59">
        <v>13.9478414256806</v>
      </c>
      <c r="F32" s="61">
        <v>14.132897524374499</v>
      </c>
      <c r="BH32" t="s">
        <v>108</v>
      </c>
    </row>
    <row r="33" spans="1:67">
      <c r="A33" s="59">
        <v>2</v>
      </c>
      <c r="B33" s="59">
        <v>14.9651855726443</v>
      </c>
      <c r="F33" s="61">
        <v>15.7321625477409</v>
      </c>
    </row>
    <row r="34" spans="1:67">
      <c r="A34" s="59">
        <v>3</v>
      </c>
      <c r="B34" s="59">
        <v>14.458445525662899</v>
      </c>
      <c r="F34" s="61">
        <v>15.625893748029901</v>
      </c>
      <c r="BH34" t="s">
        <v>62</v>
      </c>
      <c r="BI34" t="s">
        <v>69</v>
      </c>
      <c r="BJ34" s="77" t="s">
        <v>71</v>
      </c>
      <c r="BK34" t="s">
        <v>73</v>
      </c>
      <c r="BL34" t="s">
        <v>109</v>
      </c>
      <c r="BM34" t="s">
        <v>110</v>
      </c>
      <c r="BN34" t="s">
        <v>111</v>
      </c>
      <c r="BO34" t="s">
        <v>112</v>
      </c>
    </row>
    <row r="35" spans="1:67">
      <c r="A35" s="59">
        <v>4</v>
      </c>
      <c r="B35" s="59">
        <v>15.390038278706401</v>
      </c>
      <c r="F35" s="61">
        <v>15.421207002041299</v>
      </c>
      <c r="BH35" s="3">
        <v>3.4</v>
      </c>
      <c r="BI35">
        <v>2.1033032607676899E-2</v>
      </c>
      <c r="BJ35" s="49">
        <v>2.7131112916328148E-2</v>
      </c>
      <c r="BK35">
        <v>2.7657514216084485E-2</v>
      </c>
      <c r="BL35" s="26">
        <f>AVERAGE(BJ35:BK35)</f>
        <v>2.7394313566206314E-2</v>
      </c>
      <c r="BM35" s="26">
        <f>BL35-BI35</f>
        <v>6.361280958529416E-3</v>
      </c>
      <c r="BN35" s="26">
        <f>($A$3^2)/(2*$B$3*$C$3*BL35*BL35*10^-18)</f>
        <v>2004.2960111608572</v>
      </c>
      <c r="BO35" s="26">
        <f>$A$3/(SQRT(2*$B$3*$C$3*BN35))</f>
        <v>2.7394313566206315E-11</v>
      </c>
    </row>
    <row r="36" spans="1:67">
      <c r="A36" s="59">
        <v>5</v>
      </c>
      <c r="B36" s="59">
        <v>13.559752024940099</v>
      </c>
      <c r="F36" s="61">
        <v>14.276839465305001</v>
      </c>
      <c r="BH36" s="3">
        <v>3.8</v>
      </c>
      <c r="BI36">
        <v>1.9895257080236345E-2</v>
      </c>
      <c r="BJ36" s="49">
        <v>2.4767844092569873E-2</v>
      </c>
      <c r="BK36">
        <v>2.5169305724725925E-2</v>
      </c>
      <c r="BL36" s="26">
        <f t="shared" ref="BL36:BL39" si="87">AVERAGE(BJ36:BK36)</f>
        <v>2.49685749086479E-2</v>
      </c>
      <c r="BM36" s="26">
        <f t="shared" ref="BM36:BM39" si="88">BL36-BI36</f>
        <v>5.0733178284115554E-3</v>
      </c>
      <c r="BN36" s="26">
        <f t="shared" ref="BN36:BN38" si="89">($A$3^2)/(2*$B$3*$C$3*BL36*BL36*10^-18)</f>
        <v>2412.6548458547877</v>
      </c>
      <c r="BO36" s="26">
        <f t="shared" ref="BO36:BO39" si="90">$A$3/(SQRT(2*$B$3*$C$3*BN36))</f>
        <v>2.4968574908647902E-11</v>
      </c>
    </row>
    <row r="37" spans="1:67">
      <c r="A37" s="59">
        <v>6</v>
      </c>
      <c r="B37" s="59">
        <v>13.613282488004501</v>
      </c>
      <c r="F37" s="61">
        <v>14.608209450585599</v>
      </c>
      <c r="BH37" s="3">
        <v>4.0999999999999996</v>
      </c>
      <c r="BI37">
        <v>1.9153556418772019E-2</v>
      </c>
      <c r="BJ37" s="49">
        <v>2.3560797071980367E-2</v>
      </c>
      <c r="BK37">
        <v>2.4089792598617238E-2</v>
      </c>
      <c r="BL37" s="26">
        <f t="shared" si="87"/>
        <v>2.3825294835298803E-2</v>
      </c>
      <c r="BM37" s="26">
        <f t="shared" si="88"/>
        <v>4.6717384165267835E-3</v>
      </c>
      <c r="BN37" s="26">
        <f t="shared" si="89"/>
        <v>2649.7575600020682</v>
      </c>
      <c r="BO37" s="26">
        <f t="shared" si="90"/>
        <v>2.3825294835298803E-11</v>
      </c>
    </row>
    <row r="38" spans="1:67">
      <c r="A38" s="59">
        <v>7</v>
      </c>
      <c r="B38" s="59">
        <v>13.991060935638099</v>
      </c>
      <c r="F38" s="61">
        <v>14.752239984701299</v>
      </c>
      <c r="BH38" s="3">
        <v>4.3499999999999996</v>
      </c>
      <c r="BI38">
        <v>1.8595023226764654E-2</v>
      </c>
      <c r="BJ38" s="49">
        <v>2.3025152625152607E-2</v>
      </c>
      <c r="BK38">
        <v>2.4189499389499311E-2</v>
      </c>
      <c r="BL38" s="26">
        <f t="shared" si="87"/>
        <v>2.3607326007325957E-2</v>
      </c>
      <c r="BM38" s="26">
        <f t="shared" si="88"/>
        <v>5.0123027805613028E-3</v>
      </c>
      <c r="BN38" s="26">
        <f t="shared" si="89"/>
        <v>2698.9144111870492</v>
      </c>
      <c r="BO38" s="26">
        <f t="shared" si="90"/>
        <v>2.3607326007325958E-11</v>
      </c>
    </row>
    <row r="39" spans="1:67">
      <c r="A39" s="59">
        <v>8</v>
      </c>
      <c r="B39" s="59">
        <v>14.5827336159249</v>
      </c>
      <c r="F39" s="61">
        <v>14.837621682306599</v>
      </c>
      <c r="BH39" s="3">
        <v>4.5</v>
      </c>
      <c r="BI39">
        <v>1.8282479568623063E-2</v>
      </c>
      <c r="BJ39" s="49">
        <v>2.2120892494928848E-2</v>
      </c>
      <c r="BK39">
        <v>2.2514239350912738E-2</v>
      </c>
      <c r="BL39" s="26">
        <f t="shared" si="87"/>
        <v>2.2317565922920793E-2</v>
      </c>
      <c r="BM39" s="26">
        <f t="shared" si="88"/>
        <v>4.0350863542977303E-3</v>
      </c>
      <c r="BN39" s="26">
        <f>($A$3^2)/(2*$B$3*$C$3*BL39*BL39*10^-18)</f>
        <v>3019.8756110930476</v>
      </c>
      <c r="BO39" s="26">
        <f t="shared" si="90"/>
        <v>2.2317565922920788E-11</v>
      </c>
    </row>
    <row r="40" spans="1:67">
      <c r="A40" s="59">
        <v>9</v>
      </c>
      <c r="B40" s="59">
        <v>13.2625783909668</v>
      </c>
      <c r="F40" s="61">
        <v>13.8932319612138</v>
      </c>
    </row>
    <row r="41" spans="1:67">
      <c r="A41" s="59">
        <v>10</v>
      </c>
      <c r="B41" s="59">
        <v>13.472767173382699</v>
      </c>
      <c r="F41" s="61">
        <v>14.159840771141599</v>
      </c>
    </row>
    <row r="42" spans="1:67">
      <c r="A42" s="59">
        <v>11</v>
      </c>
      <c r="B42" s="59">
        <v>13.1821951889531</v>
      </c>
      <c r="F42" s="61">
        <v>14.202986215545801</v>
      </c>
    </row>
    <row r="43" spans="1:67">
      <c r="A43" s="59">
        <v>12</v>
      </c>
      <c r="B43" s="59">
        <v>13.8515695830704</v>
      </c>
      <c r="F43" s="61">
        <v>14.1477581631242</v>
      </c>
    </row>
    <row r="44" spans="1:67">
      <c r="A44" s="59">
        <v>13</v>
      </c>
      <c r="B44" s="59">
        <v>13.400911320832</v>
      </c>
      <c r="F44" s="61">
        <v>13.998592400678501</v>
      </c>
    </row>
    <row r="45" spans="1:67">
      <c r="A45" s="59">
        <v>14</v>
      </c>
      <c r="B45" s="59">
        <v>11.551802209445899</v>
      </c>
      <c r="F45" s="61">
        <v>12.7285216590373</v>
      </c>
    </row>
    <row r="46" spans="1:67">
      <c r="A46" s="59">
        <v>15</v>
      </c>
      <c r="B46" s="59">
        <v>13.9810139214397</v>
      </c>
      <c r="F46" s="61">
        <v>14.295788703025901</v>
      </c>
    </row>
    <row r="47" spans="1:67">
      <c r="A47" s="59">
        <v>16</v>
      </c>
      <c r="B47" s="59">
        <v>12.2855832603917</v>
      </c>
      <c r="F47" s="61">
        <v>12.652912148520899</v>
      </c>
    </row>
    <row r="48" spans="1:67">
      <c r="A48" s="59">
        <v>17</v>
      </c>
      <c r="B48" s="59">
        <v>13.564384027644</v>
      </c>
      <c r="F48" s="61">
        <v>13.8576230407855</v>
      </c>
    </row>
    <row r="49" spans="1:6">
      <c r="A49" s="59">
        <v>18</v>
      </c>
      <c r="B49" s="59">
        <v>12.192285463848201</v>
      </c>
      <c r="F49" s="61">
        <v>11.9846211346032</v>
      </c>
    </row>
    <row r="51" spans="1:6">
      <c r="A51" t="s">
        <v>113</v>
      </c>
    </row>
    <row r="52" spans="1:6">
      <c r="A52" s="58" t="s">
        <v>105</v>
      </c>
      <c r="B52" s="58" t="s">
        <v>106</v>
      </c>
    </row>
    <row r="53" spans="1:6">
      <c r="A53" s="59">
        <v>1</v>
      </c>
      <c r="B53" s="59">
        <v>24.0770929724974</v>
      </c>
      <c r="F53" s="61">
        <v>24.5109397376423</v>
      </c>
    </row>
    <row r="54" spans="1:6">
      <c r="A54" s="59">
        <v>2</v>
      </c>
      <c r="B54" s="59">
        <v>26.347395786677701</v>
      </c>
      <c r="F54" s="61">
        <v>27.627634215834401</v>
      </c>
    </row>
    <row r="55" spans="1:6">
      <c r="A55" s="59">
        <v>3</v>
      </c>
      <c r="B55" s="59">
        <v>25.6230719192591</v>
      </c>
      <c r="F55" s="61">
        <v>24.358215545555002</v>
      </c>
    </row>
    <row r="56" spans="1:6">
      <c r="A56" s="59">
        <v>4</v>
      </c>
      <c r="B56" s="59">
        <v>27.236995458404401</v>
      </c>
      <c r="F56" s="61">
        <v>27.434546940849302</v>
      </c>
    </row>
    <row r="57" spans="1:6">
      <c r="A57" s="59">
        <v>5</v>
      </c>
      <c r="B57" s="59">
        <v>23.9093286763975</v>
      </c>
      <c r="F57" s="61">
        <v>24.570261486439801</v>
      </c>
    </row>
    <row r="58" spans="1:6">
      <c r="A58" s="59">
        <v>6</v>
      </c>
      <c r="B58" s="59">
        <v>24.4118474124781</v>
      </c>
      <c r="F58" s="61">
        <v>25.280442414886799</v>
      </c>
    </row>
    <row r="59" spans="1:6">
      <c r="A59" s="59">
        <v>7</v>
      </c>
      <c r="B59" s="59">
        <v>24.426528532853101</v>
      </c>
      <c r="F59" s="61">
        <v>25.5865516555229</v>
      </c>
    </row>
    <row r="60" spans="1:6">
      <c r="A60" s="59">
        <v>8</v>
      </c>
      <c r="B60" s="59">
        <v>24.879657814114299</v>
      </c>
      <c r="F60" s="61">
        <v>25.0516734432418</v>
      </c>
    </row>
    <row r="61" spans="1:6">
      <c r="A61" s="59">
        <v>9</v>
      </c>
      <c r="B61" s="59">
        <v>22.6045938720845</v>
      </c>
      <c r="F61" s="61">
        <v>23.5846443194594</v>
      </c>
    </row>
    <row r="62" spans="1:6">
      <c r="A62" s="59">
        <v>10</v>
      </c>
      <c r="B62" s="59">
        <v>23.874045657237499</v>
      </c>
      <c r="F62" s="61">
        <v>24.307674223869199</v>
      </c>
    </row>
    <row r="63" spans="1:6">
      <c r="A63" s="59">
        <v>11</v>
      </c>
      <c r="B63" s="59">
        <v>22.999672636075601</v>
      </c>
      <c r="F63" s="61">
        <v>24.109663560267101</v>
      </c>
    </row>
    <row r="64" spans="1:6">
      <c r="A64" s="59">
        <v>12</v>
      </c>
      <c r="B64" s="59">
        <v>23.855874227238701</v>
      </c>
      <c r="F64" s="61">
        <v>23.991469043145798</v>
      </c>
    </row>
    <row r="65" spans="1:6">
      <c r="A65" s="59">
        <v>13</v>
      </c>
      <c r="B65" s="59">
        <v>22.956961568253298</v>
      </c>
      <c r="F65" s="61">
        <v>23.585214490292302</v>
      </c>
    </row>
    <row r="66" spans="1:6">
      <c r="A66" s="59">
        <v>14</v>
      </c>
      <c r="B66" s="59">
        <v>20.649302208961601</v>
      </c>
      <c r="F66" s="61">
        <v>21.3442985608926</v>
      </c>
    </row>
    <row r="67" spans="1:6">
      <c r="A67" s="59">
        <v>15</v>
      </c>
      <c r="B67" s="59">
        <v>23.898327007284198</v>
      </c>
      <c r="F67" s="61">
        <v>24.0058440474461</v>
      </c>
    </row>
    <row r="68" spans="1:6">
      <c r="A68" s="59">
        <v>16</v>
      </c>
      <c r="B68" s="59">
        <v>21.282625199728201</v>
      </c>
      <c r="F68" s="61">
        <v>21.557679219558601</v>
      </c>
    </row>
    <row r="69" spans="1:6">
      <c r="A69" s="59">
        <v>17</v>
      </c>
      <c r="B69" s="59">
        <v>22.853849886780299</v>
      </c>
      <c r="F69" s="61">
        <v>22.9614197110436</v>
      </c>
    </row>
    <row r="70" spans="1:6">
      <c r="A70" s="59">
        <v>18</v>
      </c>
      <c r="B70" s="59">
        <v>19.3670481820105</v>
      </c>
      <c r="F70" s="61">
        <v>20.0178224383173</v>
      </c>
    </row>
    <row r="73" spans="1:6">
      <c r="A73" t="s">
        <v>114</v>
      </c>
    </row>
    <row r="75" spans="1:6">
      <c r="A75" s="58" t="s">
        <v>105</v>
      </c>
      <c r="B75" s="58" t="s">
        <v>115</v>
      </c>
      <c r="C75" s="58" t="s">
        <v>116</v>
      </c>
    </row>
    <row r="76" spans="1:6">
      <c r="A76" s="59">
        <v>1</v>
      </c>
      <c r="B76" s="59">
        <v>17.6767676767676</v>
      </c>
      <c r="C76" s="59">
        <v>28.4511784511784</v>
      </c>
    </row>
    <row r="77" spans="1:6">
      <c r="A77" s="59">
        <v>2</v>
      </c>
      <c r="B77" s="59">
        <v>15.313935681470101</v>
      </c>
      <c r="C77" s="59">
        <v>26.9525267993874</v>
      </c>
    </row>
    <row r="78" spans="1:6">
      <c r="A78" s="59">
        <v>3</v>
      </c>
      <c r="B78" s="59">
        <v>14.8333333333333</v>
      </c>
      <c r="C78" s="59">
        <v>22.8333333333333</v>
      </c>
    </row>
    <row r="79" spans="1:6">
      <c r="A79" s="59">
        <v>4</v>
      </c>
      <c r="B79" s="59">
        <v>15.922014622258301</v>
      </c>
      <c r="C79" s="59">
        <v>28.107229894394798</v>
      </c>
    </row>
    <row r="80" spans="1:6">
      <c r="A80" s="59">
        <v>5</v>
      </c>
      <c r="B80" s="59">
        <v>14.962593516209401</v>
      </c>
      <c r="C80" s="59">
        <v>25.602660016625101</v>
      </c>
    </row>
    <row r="81" spans="1:3">
      <c r="A81" s="59">
        <v>6</v>
      </c>
      <c r="B81" s="59">
        <v>14.171974522292899</v>
      </c>
      <c r="C81" s="59">
        <v>25.318471337579599</v>
      </c>
    </row>
    <row r="82" spans="1:3">
      <c r="A82" s="59">
        <v>7</v>
      </c>
      <c r="B82" s="59">
        <v>14.611154752553</v>
      </c>
      <c r="C82" s="59">
        <v>25.923016496464999</v>
      </c>
    </row>
    <row r="83" spans="1:3">
      <c r="A83" s="59">
        <v>8</v>
      </c>
      <c r="B83" s="59">
        <v>14.5351197726349</v>
      </c>
      <c r="C83" s="59">
        <v>25.57856272838</v>
      </c>
    </row>
    <row r="84" spans="1:3">
      <c r="A84" s="59">
        <v>9</v>
      </c>
      <c r="B84" s="59">
        <v>13.243922883487</v>
      </c>
      <c r="C84" s="59">
        <v>24.4761106454316</v>
      </c>
    </row>
    <row r="85" spans="1:3">
      <c r="A85" s="59">
        <v>10</v>
      </c>
      <c r="B85" s="59">
        <v>13.586956521739101</v>
      </c>
      <c r="C85" s="59">
        <v>24.320652173913</v>
      </c>
    </row>
    <row r="86" spans="1:3">
      <c r="A86" s="59">
        <v>11</v>
      </c>
      <c r="B86" s="59">
        <v>13.973063973063899</v>
      </c>
      <c r="C86" s="59">
        <v>24.410774410774401</v>
      </c>
    </row>
    <row r="87" spans="1:3">
      <c r="A87" s="59">
        <v>12</v>
      </c>
      <c r="B87" s="59">
        <v>13.826758845058899</v>
      </c>
      <c r="C87" s="59">
        <v>24.4814965433102</v>
      </c>
    </row>
    <row r="88" spans="1:3">
      <c r="A88" s="59">
        <v>13</v>
      </c>
      <c r="B88" s="59">
        <v>13.4877384196185</v>
      </c>
      <c r="C88" s="59">
        <v>23.978201634877301</v>
      </c>
    </row>
    <row r="89" spans="1:3">
      <c r="A89" s="59">
        <v>14</v>
      </c>
      <c r="B89" s="59">
        <v>12.8755364806866</v>
      </c>
      <c r="C89" s="59">
        <v>22.832618025751</v>
      </c>
    </row>
    <row r="90" spans="1:3">
      <c r="A90" s="59">
        <v>15</v>
      </c>
      <c r="B90" s="59">
        <v>13.512413512413501</v>
      </c>
      <c r="C90" s="59">
        <v>24.5828245828245</v>
      </c>
    </row>
    <row r="91" spans="1:3">
      <c r="A91" s="59">
        <v>16</v>
      </c>
      <c r="B91" s="59">
        <v>12.9327237099934</v>
      </c>
      <c r="C91" s="59">
        <v>22.730241672109699</v>
      </c>
    </row>
    <row r="92" spans="1:3">
      <c r="A92" s="59">
        <v>17</v>
      </c>
      <c r="B92" s="59">
        <v>12.981744421906599</v>
      </c>
      <c r="C92" s="59">
        <v>22.880324543610499</v>
      </c>
    </row>
    <row r="93" spans="1:3">
      <c r="A93" s="59">
        <v>18</v>
      </c>
      <c r="B93" s="59">
        <v>12.263436790310299</v>
      </c>
      <c r="C93" s="59">
        <v>22.710068130204299</v>
      </c>
    </row>
  </sheetData>
  <mergeCells count="18">
    <mergeCell ref="AB1:AN1"/>
    <mergeCell ref="AR1:BD1"/>
    <mergeCell ref="BH1:BT1"/>
    <mergeCell ref="A1:G1"/>
    <mergeCell ref="I1:L1"/>
    <mergeCell ref="O1:R1"/>
    <mergeCell ref="U1:X1"/>
    <mergeCell ref="BA21:BB21"/>
    <mergeCell ref="BL21:BP21"/>
    <mergeCell ref="BQ21:BR21"/>
    <mergeCell ref="A8:F8"/>
    <mergeCell ref="A28:F28"/>
    <mergeCell ref="AB22:AD22"/>
    <mergeCell ref="AR21:AT21"/>
    <mergeCell ref="BH21:BJ21"/>
    <mergeCell ref="AF22:AJ22"/>
    <mergeCell ref="AK22:AL22"/>
    <mergeCell ref="AV21:AZ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1° PARTE</vt:lpstr>
      <vt:lpstr>OBSOLETO_2° PARTE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CARMELO SIMONE PALAZZO</dc:creator>
  <cp:keywords/>
  <dc:description/>
  <cp:lastModifiedBy>VINCENZO OLIVERI</cp:lastModifiedBy>
  <cp:revision/>
  <dcterms:created xsi:type="dcterms:W3CDTF">2026-03-20T17:50:07Z</dcterms:created>
  <dcterms:modified xsi:type="dcterms:W3CDTF">2026-06-01T17:33:18Z</dcterms:modified>
  <cp:category/>
  <cp:contentStatus/>
</cp:coreProperties>
</file>