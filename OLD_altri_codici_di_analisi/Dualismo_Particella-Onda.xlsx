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nce\Desktop\Esperienza_Laboratorio_DOP\Analisi_Dati_DOP\"/>
    </mc:Choice>
  </mc:AlternateContent>
  <xr:revisionPtr revIDLastSave="0" documentId="13_ncr:1_{59614850-8DB1-47E3-A23B-7A89A57AD59D}" xr6:coauthVersionLast="47" xr6:coauthVersionMax="47" xr10:uidLastSave="{00000000-0000-0000-0000-000000000000}"/>
  <bookViews>
    <workbookView xWindow="-108" yWindow="-108" windowWidth="23256" windowHeight="12456" activeTab="2" xr2:uid="{506A3D08-F08A-1E43-B450-3F1A0734760D}"/>
  </bookViews>
  <sheets>
    <sheet name="1°parte" sheetId="1" r:id="rId1"/>
    <sheet name="OBSOLETO_2°parte" sheetId="2" r:id="rId2"/>
    <sheet name="OBSOLETO_2° PAR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12" i="3" l="1"/>
  <c r="AT18" i="3"/>
  <c r="AS18" i="3"/>
  <c r="AZ9" i="3" s="1"/>
  <c r="AN3" i="3"/>
  <c r="BD8" i="3"/>
  <c r="BD9" i="3"/>
  <c r="BC8" i="3"/>
  <c r="BC9" i="3"/>
  <c r="BB8" i="3"/>
  <c r="BB9" i="3"/>
  <c r="BA8" i="3"/>
  <c r="BA9" i="3"/>
  <c r="AZ8" i="3"/>
  <c r="AY3" i="3"/>
  <c r="AY8" i="3"/>
  <c r="AY9" i="3"/>
  <c r="AX8" i="3"/>
  <c r="AX9" i="3"/>
  <c r="AX4" i="3"/>
  <c r="AX5" i="3"/>
  <c r="AX6" i="3"/>
  <c r="AX7" i="3"/>
  <c r="AX3" i="3"/>
  <c r="AW9" i="3"/>
  <c r="AW8" i="3"/>
  <c r="AW4" i="3"/>
  <c r="AW5" i="3"/>
  <c r="AW6" i="3"/>
  <c r="AW7" i="3"/>
  <c r="AW3" i="3"/>
  <c r="AN8" i="3"/>
  <c r="AM8" i="3"/>
  <c r="AM7" i="3"/>
  <c r="AL8" i="3"/>
  <c r="AK8" i="3"/>
  <c r="AJ8" i="3"/>
  <c r="AI8" i="3"/>
  <c r="AI4" i="3"/>
  <c r="AI5" i="3"/>
  <c r="AI6" i="3"/>
  <c r="AI7" i="3"/>
  <c r="AI3" i="3"/>
  <c r="AH4" i="3"/>
  <c r="AH5" i="3"/>
  <c r="AH6" i="3"/>
  <c r="AH7" i="3"/>
  <c r="AH8" i="3"/>
  <c r="AH3" i="3"/>
  <c r="AG8" i="3"/>
  <c r="AG4" i="3"/>
  <c r="AG5" i="3"/>
  <c r="AG6" i="3"/>
  <c r="AG7" i="3"/>
  <c r="AG3" i="3"/>
  <c r="BD7" i="3"/>
  <c r="BC7" i="3"/>
  <c r="BB7" i="3"/>
  <c r="BA7" i="3"/>
  <c r="AZ7" i="3"/>
  <c r="AY7" i="3"/>
  <c r="BD6" i="3"/>
  <c r="BC6" i="3"/>
  <c r="BB6" i="3"/>
  <c r="BA6" i="3"/>
  <c r="AZ6" i="3"/>
  <c r="AY6" i="3"/>
  <c r="BD5" i="3"/>
  <c r="BC5" i="3"/>
  <c r="BB5" i="3"/>
  <c r="BA5" i="3"/>
  <c r="AZ5" i="3"/>
  <c r="AY5" i="3"/>
  <c r="BD4" i="3"/>
  <c r="BC4" i="3"/>
  <c r="BB4" i="3"/>
  <c r="BA4" i="3"/>
  <c r="AZ4" i="3"/>
  <c r="AY4" i="3"/>
  <c r="BD3" i="3"/>
  <c r="BC3" i="3"/>
  <c r="BB3" i="3"/>
  <c r="BA3" i="3"/>
  <c r="AZ3" i="3"/>
  <c r="AN7" i="3"/>
  <c r="AL7" i="3"/>
  <c r="AK7" i="3"/>
  <c r="AJ7" i="3"/>
  <c r="AN6" i="3"/>
  <c r="AM6" i="3"/>
  <c r="AL6" i="3"/>
  <c r="AK6" i="3"/>
  <c r="AJ6" i="3"/>
  <c r="AN5" i="3"/>
  <c r="AM5" i="3"/>
  <c r="AL5" i="3"/>
  <c r="AK5" i="3"/>
  <c r="AJ5" i="3"/>
  <c r="AN4" i="3"/>
  <c r="AM4" i="3"/>
  <c r="AL4" i="3"/>
  <c r="AK4" i="3"/>
  <c r="AJ4" i="3"/>
  <c r="AM3" i="3"/>
  <c r="AL3" i="3"/>
  <c r="AK3" i="3"/>
  <c r="AJ3" i="3"/>
  <c r="BS4" i="3"/>
  <c r="BS5" i="3"/>
  <c r="BS6" i="3"/>
  <c r="BS7" i="3"/>
  <c r="BS3" i="3"/>
  <c r="BQ4" i="3"/>
  <c r="BQ5" i="3"/>
  <c r="BQ6" i="3"/>
  <c r="BQ7" i="3"/>
  <c r="BQ3" i="3"/>
  <c r="BP4" i="3"/>
  <c r="BP5" i="3"/>
  <c r="BP6" i="3"/>
  <c r="BP7" i="3"/>
  <c r="BP3" i="3"/>
  <c r="BO4" i="3"/>
  <c r="BO5" i="3"/>
  <c r="BO6" i="3"/>
  <c r="BO7" i="3"/>
  <c r="BO3" i="3"/>
  <c r="BN4" i="3"/>
  <c r="BN5" i="3"/>
  <c r="BN6" i="3"/>
  <c r="BN7" i="3"/>
  <c r="BN3" i="3"/>
  <c r="BM4" i="3"/>
  <c r="BM5" i="3"/>
  <c r="BM6" i="3"/>
  <c r="BM7" i="3"/>
  <c r="BM3" i="3"/>
  <c r="BL12" i="3"/>
  <c r="AF3" i="2"/>
  <c r="AD11" i="2"/>
  <c r="BQ12" i="3"/>
  <c r="BN12" i="3"/>
  <c r="BM12" i="3"/>
  <c r="BJ13" i="3"/>
  <c r="BJ14" i="3"/>
  <c r="BJ15" i="3"/>
  <c r="BJ16" i="3"/>
  <c r="BJ12" i="3"/>
  <c r="BI13" i="3"/>
  <c r="BI14" i="3"/>
  <c r="BI15" i="3"/>
  <c r="BI16" i="3"/>
  <c r="BI12" i="3"/>
  <c r="BH13" i="3"/>
  <c r="BH14" i="3"/>
  <c r="BH15" i="3"/>
  <c r="BH16" i="3"/>
  <c r="BH12" i="3"/>
  <c r="AB13" i="3"/>
  <c r="AB14" i="3"/>
  <c r="AB15" i="3"/>
  <c r="AB16" i="3"/>
  <c r="AB17" i="3"/>
  <c r="AB12" i="3"/>
  <c r="BD18" i="3"/>
  <c r="BC18" i="3"/>
  <c r="BB18" i="3"/>
  <c r="BA18" i="3"/>
  <c r="AY18" i="3"/>
  <c r="AX18" i="3"/>
  <c r="AW18" i="3"/>
  <c r="AV18" i="3"/>
  <c r="AR18" i="3"/>
  <c r="BK7" i="3"/>
  <c r="BK6" i="3"/>
  <c r="BK5" i="3"/>
  <c r="BK4" i="3"/>
  <c r="BK3" i="3"/>
  <c r="BJ7" i="3"/>
  <c r="BJ6" i="3"/>
  <c r="BQ15" i="3" s="1"/>
  <c r="BJ5" i="3"/>
  <c r="BQ14" i="3" s="1"/>
  <c r="BJ4" i="3"/>
  <c r="BS13" i="3" s="1"/>
  <c r="BJ3" i="3"/>
  <c r="AT3" i="3"/>
  <c r="BI7" i="3"/>
  <c r="BO16" i="3" s="1"/>
  <c r="BR7" i="3" s="1"/>
  <c r="BI6" i="3"/>
  <c r="BI5" i="3"/>
  <c r="BI4" i="3"/>
  <c r="BI3" i="3"/>
  <c r="BH7" i="3"/>
  <c r="BH6" i="3"/>
  <c r="BH5" i="3"/>
  <c r="BN14" i="3" s="1"/>
  <c r="BH4" i="3"/>
  <c r="BH3" i="3"/>
  <c r="BN13" i="3"/>
  <c r="BN15" i="3"/>
  <c r="AR3" i="3"/>
  <c r="AR4" i="3"/>
  <c r="AR5" i="3"/>
  <c r="AV14" i="3" s="1"/>
  <c r="AR6" i="3"/>
  <c r="AV15" i="3" s="1"/>
  <c r="AR7" i="3"/>
  <c r="AR8" i="3"/>
  <c r="AS8" i="3"/>
  <c r="AT8" i="3"/>
  <c r="BC17" i="3" s="1"/>
  <c r="AU8" i="3"/>
  <c r="AR9" i="3"/>
  <c r="AS9" i="3"/>
  <c r="AT9" i="3"/>
  <c r="AU9" i="3"/>
  <c r="AV13" i="3"/>
  <c r="BR16" i="3"/>
  <c r="BN16" i="3"/>
  <c r="BM16" i="3"/>
  <c r="BR15" i="3"/>
  <c r="BM15" i="3"/>
  <c r="BR14" i="3"/>
  <c r="BM14" i="3"/>
  <c r="BL14" i="3"/>
  <c r="BR13" i="3"/>
  <c r="BM13" i="3"/>
  <c r="BS12" i="3"/>
  <c r="BT12" i="3" s="1"/>
  <c r="BT3" i="3" s="1"/>
  <c r="BR12" i="3"/>
  <c r="BS16" i="3"/>
  <c r="BT16" i="3" s="1"/>
  <c r="BT7" i="3" s="1"/>
  <c r="BL16" i="3"/>
  <c r="BD12" i="3"/>
  <c r="BA12" i="3"/>
  <c r="AR12" i="3"/>
  <c r="AV12" i="3"/>
  <c r="AF12" i="3"/>
  <c r="AT13" i="3"/>
  <c r="AT14" i="3"/>
  <c r="AT15" i="3"/>
  <c r="AT16" i="3"/>
  <c r="AT17" i="3"/>
  <c r="AT12" i="3"/>
  <c r="AS13" i="3"/>
  <c r="AS14" i="3"/>
  <c r="AS15" i="3"/>
  <c r="AS16" i="3"/>
  <c r="AS17" i="3"/>
  <c r="AS12" i="3"/>
  <c r="AR13" i="3"/>
  <c r="AR14" i="3"/>
  <c r="AR15" i="3"/>
  <c r="AR16" i="3"/>
  <c r="AR17" i="3"/>
  <c r="AU7" i="3"/>
  <c r="AU6" i="3"/>
  <c r="AU5" i="3"/>
  <c r="AU4" i="3"/>
  <c r="AU3" i="3"/>
  <c r="AT7" i="3"/>
  <c r="BC16" i="3" s="1"/>
  <c r="AT6" i="3"/>
  <c r="BA15" i="3" s="1"/>
  <c r="AT5" i="3"/>
  <c r="BA14" i="3" s="1"/>
  <c r="AT4" i="3"/>
  <c r="BC13" i="3" s="1"/>
  <c r="AS3" i="3"/>
  <c r="AS7" i="3"/>
  <c r="AS6" i="3"/>
  <c r="AS5" i="3"/>
  <c r="AS4" i="3"/>
  <c r="AB3" i="3"/>
  <c r="AB4" i="3"/>
  <c r="AB5" i="3"/>
  <c r="AF14" i="3" s="1"/>
  <c r="AB6" i="3"/>
  <c r="AF15" i="3" s="1"/>
  <c r="AB7" i="3"/>
  <c r="AB8" i="3"/>
  <c r="AH12" i="3"/>
  <c r="AF13" i="3"/>
  <c r="AC3" i="3"/>
  <c r="AH17" i="3"/>
  <c r="AI17" i="3" s="1"/>
  <c r="AH16" i="3"/>
  <c r="AI16" i="3" s="1"/>
  <c r="AX17" i="3"/>
  <c r="AX12" i="3"/>
  <c r="AV16" i="3"/>
  <c r="Q3" i="3"/>
  <c r="BB17" i="3"/>
  <c r="AW17" i="3"/>
  <c r="AV17" i="3"/>
  <c r="BB16" i="3"/>
  <c r="AW16" i="3"/>
  <c r="BB15" i="3"/>
  <c r="AW15" i="3"/>
  <c r="BB14" i="3"/>
  <c r="AW14" i="3"/>
  <c r="BB13" i="3"/>
  <c r="AW13" i="3"/>
  <c r="BB12" i="3"/>
  <c r="AW12" i="3"/>
  <c r="BC12" i="3"/>
  <c r="AN12" i="3"/>
  <c r="AN13" i="3"/>
  <c r="AN14" i="3"/>
  <c r="AN15" i="3"/>
  <c r="AN16" i="3"/>
  <c r="AN17" i="3"/>
  <c r="AM13" i="3"/>
  <c r="AM14" i="3"/>
  <c r="AM15" i="3"/>
  <c r="AM16" i="3"/>
  <c r="AM17" i="3"/>
  <c r="AM12" i="3"/>
  <c r="AL12" i="3"/>
  <c r="AL13" i="3"/>
  <c r="AL14" i="3"/>
  <c r="AL15" i="3"/>
  <c r="AL16" i="3"/>
  <c r="AL17" i="3"/>
  <c r="AK13" i="3"/>
  <c r="AK14" i="3"/>
  <c r="AK15" i="3"/>
  <c r="AK16" i="3"/>
  <c r="AK17" i="3"/>
  <c r="AK12" i="3"/>
  <c r="AH13" i="3"/>
  <c r="AI13" i="3" s="1"/>
  <c r="AH14" i="3"/>
  <c r="AI14" i="3" s="1"/>
  <c r="AG13" i="3"/>
  <c r="AG14" i="3"/>
  <c r="AG15" i="3"/>
  <c r="AG16" i="3"/>
  <c r="AG17" i="3"/>
  <c r="AG12" i="3"/>
  <c r="I18" i="2"/>
  <c r="AF16" i="3"/>
  <c r="AF17" i="3"/>
  <c r="AD13" i="3"/>
  <c r="AD14" i="3"/>
  <c r="AD15" i="3"/>
  <c r="AD16" i="3"/>
  <c r="AD17" i="3"/>
  <c r="AD12" i="3"/>
  <c r="AB11" i="2"/>
  <c r="AJ4" i="2"/>
  <c r="AC13" i="3"/>
  <c r="AC14" i="3"/>
  <c r="AC15" i="3"/>
  <c r="AC16" i="3"/>
  <c r="AC17" i="3"/>
  <c r="AC12" i="3"/>
  <c r="I11" i="2"/>
  <c r="AE8" i="3"/>
  <c r="AE7" i="3"/>
  <c r="AE6" i="3"/>
  <c r="AE5" i="3"/>
  <c r="AE4" i="3"/>
  <c r="AE3" i="3"/>
  <c r="AD8" i="3"/>
  <c r="AD7" i="3"/>
  <c r="AD6" i="3"/>
  <c r="AD5" i="3"/>
  <c r="AD4" i="3"/>
  <c r="AD3" i="3"/>
  <c r="AC8" i="3"/>
  <c r="AC7" i="3"/>
  <c r="AC6" i="3"/>
  <c r="AC5" i="3"/>
  <c r="AC4" i="3"/>
  <c r="X7" i="3"/>
  <c r="X6" i="3"/>
  <c r="X5" i="3"/>
  <c r="X4" i="3"/>
  <c r="X3" i="3"/>
  <c r="W7" i="3"/>
  <c r="W6" i="3"/>
  <c r="W5" i="3"/>
  <c r="W4" i="3"/>
  <c r="W3" i="3"/>
  <c r="R9" i="3"/>
  <c r="R8" i="3"/>
  <c r="R7" i="3"/>
  <c r="R6" i="3"/>
  <c r="R5" i="3"/>
  <c r="R4" i="3"/>
  <c r="R3" i="3"/>
  <c r="Q9" i="3"/>
  <c r="Q8" i="3"/>
  <c r="Q7" i="3"/>
  <c r="Q6" i="3"/>
  <c r="Q5" i="3"/>
  <c r="Q4" i="3"/>
  <c r="L8" i="3"/>
  <c r="L7" i="3"/>
  <c r="L6" i="3"/>
  <c r="L5" i="3"/>
  <c r="L4" i="3"/>
  <c r="L3" i="3"/>
  <c r="K8" i="3"/>
  <c r="K7" i="3"/>
  <c r="K6" i="3"/>
  <c r="K5" i="3"/>
  <c r="K4" i="3"/>
  <c r="K3" i="3"/>
  <c r="G3" i="3"/>
  <c r="F3" i="3"/>
  <c r="E3" i="3"/>
  <c r="D3" i="3"/>
  <c r="C3" i="3"/>
  <c r="B3" i="3"/>
  <c r="A3" i="3"/>
  <c r="Z11" i="2"/>
  <c r="AB12" i="2"/>
  <c r="AB13" i="2"/>
  <c r="AB14" i="2"/>
  <c r="AB15" i="2"/>
  <c r="AA12" i="2"/>
  <c r="AA13" i="2"/>
  <c r="AA14" i="2"/>
  <c r="AJ7" i="2" s="1"/>
  <c r="AA15" i="2"/>
  <c r="AA11" i="2"/>
  <c r="AI4" i="2"/>
  <c r="AK4" i="2"/>
  <c r="AJ5" i="2"/>
  <c r="AJ6" i="2"/>
  <c r="AJ8" i="2"/>
  <c r="AI5" i="2"/>
  <c r="AI6" i="2"/>
  <c r="AI7" i="2"/>
  <c r="AI8" i="2"/>
  <c r="AN5" i="2"/>
  <c r="AN6" i="2"/>
  <c r="AN7" i="2"/>
  <c r="AN8" i="2"/>
  <c r="AN4" i="2"/>
  <c r="AM5" i="2"/>
  <c r="AM6" i="2"/>
  <c r="AM7" i="2"/>
  <c r="AM8" i="2"/>
  <c r="AM4" i="2"/>
  <c r="AL5" i="2"/>
  <c r="AL6" i="2"/>
  <c r="AL7" i="2"/>
  <c r="AL8" i="2"/>
  <c r="AL4" i="2"/>
  <c r="AK5" i="2"/>
  <c r="AK6" i="2"/>
  <c r="AK7" i="2"/>
  <c r="AK8" i="2"/>
  <c r="AL12" i="2"/>
  <c r="AL13" i="2"/>
  <c r="AL14" i="2"/>
  <c r="AL15" i="2"/>
  <c r="AL11" i="2"/>
  <c r="AK12" i="2"/>
  <c r="AK13" i="2"/>
  <c r="AK14" i="2"/>
  <c r="AK15" i="2"/>
  <c r="AK11" i="2"/>
  <c r="AJ11" i="2"/>
  <c r="AJ12" i="2"/>
  <c r="AJ13" i="2"/>
  <c r="AJ14" i="2"/>
  <c r="AJ15" i="2"/>
  <c r="AI12" i="2"/>
  <c r="AI13" i="2"/>
  <c r="AI14" i="2"/>
  <c r="AI15" i="2"/>
  <c r="AI11" i="2"/>
  <c r="AG12" i="2"/>
  <c r="AG13" i="2"/>
  <c r="AG14" i="2"/>
  <c r="AG15" i="2"/>
  <c r="AG11" i="2"/>
  <c r="AF12" i="2"/>
  <c r="AF13" i="2"/>
  <c r="AF14" i="2"/>
  <c r="AF15" i="2"/>
  <c r="AF11" i="2"/>
  <c r="AE11" i="2"/>
  <c r="AD12" i="2"/>
  <c r="AD13" i="2"/>
  <c r="AD14" i="2"/>
  <c r="AD15" i="2"/>
  <c r="AE15" i="2"/>
  <c r="AE14" i="2"/>
  <c r="AE13" i="2"/>
  <c r="AE12" i="2"/>
  <c r="L18" i="2"/>
  <c r="AE4" i="2"/>
  <c r="AE5" i="2"/>
  <c r="AE6" i="2"/>
  <c r="AE7" i="2"/>
  <c r="AE3" i="2"/>
  <c r="AC4" i="2"/>
  <c r="AC5" i="2"/>
  <c r="AC6" i="2"/>
  <c r="AC7" i="2"/>
  <c r="AC3" i="2"/>
  <c r="AB3" i="2"/>
  <c r="AB4" i="2"/>
  <c r="AB5" i="2"/>
  <c r="AB6" i="2"/>
  <c r="AB7" i="2"/>
  <c r="AD3" i="2"/>
  <c r="AD4" i="2"/>
  <c r="AD5" i="2"/>
  <c r="AD6" i="2"/>
  <c r="AD7" i="2"/>
  <c r="X8" i="2"/>
  <c r="W8" i="2"/>
  <c r="X7" i="2"/>
  <c r="W7" i="2"/>
  <c r="X6" i="2"/>
  <c r="W6" i="2"/>
  <c r="X5" i="2"/>
  <c r="W5" i="2"/>
  <c r="X4" i="2"/>
  <c r="W4" i="2"/>
  <c r="X3" i="2"/>
  <c r="W3" i="2"/>
  <c r="L5" i="2"/>
  <c r="O28" i="2"/>
  <c r="O29" i="2"/>
  <c r="L28" i="2"/>
  <c r="L29" i="2"/>
  <c r="L27" i="2"/>
  <c r="G3" i="2"/>
  <c r="L4" i="2"/>
  <c r="L6" i="2"/>
  <c r="L7" i="2"/>
  <c r="L8" i="2"/>
  <c r="K4" i="2"/>
  <c r="K5" i="2"/>
  <c r="K6" i="2"/>
  <c r="K7" i="2"/>
  <c r="K8" i="2"/>
  <c r="O27" i="2"/>
  <c r="O26" i="2"/>
  <c r="L26" i="2"/>
  <c r="K3" i="2"/>
  <c r="L3" i="2"/>
  <c r="F3" i="2"/>
  <c r="E3" i="2"/>
  <c r="D3" i="2"/>
  <c r="C3" i="2"/>
  <c r="B3" i="2"/>
  <c r="A3" i="2"/>
  <c r="U2" i="1"/>
  <c r="F42" i="1"/>
  <c r="F41" i="1"/>
  <c r="I41" i="1" s="1"/>
  <c r="O3" i="1" s="1"/>
  <c r="O14" i="1" s="1"/>
  <c r="P14" i="1"/>
  <c r="N7" i="1"/>
  <c r="N18" i="1"/>
  <c r="J15" i="1"/>
  <c r="J16" i="1"/>
  <c r="J17" i="1"/>
  <c r="J18" i="1"/>
  <c r="J19" i="1"/>
  <c r="J20" i="1"/>
  <c r="J21" i="1"/>
  <c r="E21" i="1"/>
  <c r="I21" i="1" s="1"/>
  <c r="G21" i="1"/>
  <c r="K21" i="1" s="1"/>
  <c r="E20" i="1"/>
  <c r="I20" i="1" s="1"/>
  <c r="G20" i="1"/>
  <c r="K20" i="1" s="1"/>
  <c r="J14" i="1"/>
  <c r="E14" i="1"/>
  <c r="I14" i="1" s="1"/>
  <c r="G14" i="1"/>
  <c r="K14" i="1" s="1"/>
  <c r="E15" i="1"/>
  <c r="I15" i="1" s="1"/>
  <c r="G15" i="1"/>
  <c r="K15" i="1" s="1"/>
  <c r="E16" i="1"/>
  <c r="I16" i="1" s="1"/>
  <c r="G16" i="1"/>
  <c r="K16" i="1" s="1"/>
  <c r="E17" i="1"/>
  <c r="I17" i="1" s="1"/>
  <c r="G17" i="1"/>
  <c r="K17" i="1" s="1"/>
  <c r="E18" i="1"/>
  <c r="I18" i="1" s="1"/>
  <c r="G18" i="1"/>
  <c r="K18" i="1" s="1"/>
  <c r="E19" i="1"/>
  <c r="I19" i="1" s="1"/>
  <c r="G19" i="1"/>
  <c r="K19" i="1" s="1"/>
  <c r="P3" i="1"/>
  <c r="G4" i="1"/>
  <c r="K4" i="1" s="1"/>
  <c r="G5" i="1"/>
  <c r="K5" i="1" s="1"/>
  <c r="G6" i="1"/>
  <c r="K6" i="1" s="1"/>
  <c r="G7" i="1"/>
  <c r="K7" i="1" s="1"/>
  <c r="G8" i="1"/>
  <c r="K8" i="1" s="1"/>
  <c r="G3" i="1"/>
  <c r="K3" i="1" s="1"/>
  <c r="E4" i="1"/>
  <c r="I4" i="1" s="1"/>
  <c r="E5" i="1"/>
  <c r="I5" i="1" s="1"/>
  <c r="E6" i="1"/>
  <c r="I6" i="1" s="1"/>
  <c r="E7" i="1"/>
  <c r="I7" i="1" s="1"/>
  <c r="E8" i="1"/>
  <c r="I8" i="1" s="1"/>
  <c r="E3" i="1"/>
  <c r="I3" i="1" s="1"/>
  <c r="BT13" i="3" l="1"/>
  <c r="BT4" i="3" s="1"/>
  <c r="BS14" i="3"/>
  <c r="BL13" i="3"/>
  <c r="BL15" i="3"/>
  <c r="BO15" i="3"/>
  <c r="BR6" i="3" s="1"/>
  <c r="BR3" i="3"/>
  <c r="AX14" i="3"/>
  <c r="AY14" i="3" s="1"/>
  <c r="BO14" i="3"/>
  <c r="BR5" i="3" s="1"/>
  <c r="BO13" i="3"/>
  <c r="BR4" i="3" s="1"/>
  <c r="BT14" i="3"/>
  <c r="BT5" i="3" s="1"/>
  <c r="BQ13" i="3"/>
  <c r="BQ16" i="3"/>
  <c r="BS15" i="3"/>
  <c r="BT15" i="3" s="1"/>
  <c r="BT6" i="3" s="1"/>
  <c r="BD16" i="3"/>
  <c r="AY12" i="3"/>
  <c r="AI12" i="3"/>
  <c r="AH15" i="3"/>
  <c r="AI15" i="3" s="1"/>
  <c r="AX15" i="3"/>
  <c r="AY15" i="3" s="1"/>
  <c r="AX13" i="3"/>
  <c r="AY13" i="3" s="1"/>
  <c r="AX16" i="3"/>
  <c r="AY16" i="3" s="1"/>
  <c r="BD13" i="3"/>
  <c r="AY17" i="3"/>
  <c r="BD17" i="3"/>
  <c r="BA13" i="3"/>
  <c r="BA17" i="3"/>
  <c r="BA16" i="3"/>
  <c r="BC15" i="3"/>
  <c r="BD15" i="3" s="1"/>
  <c r="BC14" i="3"/>
  <c r="BD14" i="3" s="1"/>
  <c r="Z15" i="2"/>
  <c r="AG6" i="2"/>
  <c r="AG5" i="2"/>
  <c r="Z13" i="2"/>
  <c r="AG4" i="2"/>
  <c r="K19" i="2"/>
  <c r="AF6" i="2"/>
  <c r="AF5" i="2"/>
  <c r="Z12" i="2"/>
  <c r="AF7" i="2"/>
  <c r="Z14" i="2"/>
  <c r="AG7" i="2"/>
  <c r="AF4" i="2"/>
  <c r="AG3" i="2"/>
  <c r="J21" i="2"/>
  <c r="K22" i="2"/>
  <c r="K18" i="2"/>
  <c r="J18" i="2"/>
  <c r="J20" i="2"/>
  <c r="K21" i="2"/>
  <c r="J23" i="2"/>
  <c r="J19" i="2"/>
  <c r="K20" i="2"/>
  <c r="J22" i="2"/>
  <c r="K23" i="2"/>
  <c r="J15" i="2"/>
  <c r="K15" i="2" s="1"/>
  <c r="J12" i="2"/>
  <c r="K12" i="2" s="1"/>
  <c r="J14" i="2"/>
  <c r="K14" i="2" s="1"/>
  <c r="J11" i="2"/>
  <c r="K11" i="2" s="1"/>
  <c r="J13" i="2"/>
  <c r="K13" i="2" s="1"/>
  <c r="J16" i="2"/>
  <c r="K16" i="2" s="1"/>
  <c r="N22" i="2"/>
  <c r="N18" i="2"/>
  <c r="N19" i="2"/>
  <c r="I23" i="2"/>
  <c r="N23" i="2"/>
  <c r="I19" i="2"/>
  <c r="I12" i="2"/>
  <c r="I20" i="2"/>
  <c r="N21" i="2"/>
  <c r="I21" i="2"/>
  <c r="I22" i="2"/>
  <c r="N20" i="2"/>
  <c r="I15" i="2"/>
  <c r="I14" i="2"/>
  <c r="I16" i="2"/>
  <c r="I13" i="2"/>
  <c r="R3" i="1"/>
  <c r="R5" i="1"/>
  <c r="Q3" i="1"/>
  <c r="U5" i="1" s="1"/>
  <c r="Q14" i="1"/>
  <c r="R14" i="1"/>
  <c r="R16" i="1"/>
  <c r="I42" i="1"/>
  <c r="O5" i="1" s="1"/>
  <c r="O16" i="1" s="1"/>
  <c r="S14" i="1" l="1"/>
  <c r="S3" i="1"/>
</calcChain>
</file>

<file path=xl/sharedStrings.xml><?xml version="1.0" encoding="utf-8"?>
<sst xmlns="http://schemas.openxmlformats.org/spreadsheetml/2006/main" count="295" uniqueCount="117">
  <si>
    <t>1° SET</t>
  </si>
  <si>
    <t>ANALISI DATI</t>
  </si>
  <si>
    <t>e/m teorico</t>
  </si>
  <si>
    <t>Corrente [mA]</t>
  </si>
  <si>
    <t>d.d.p [V]</t>
  </si>
  <si>
    <t>Err corrente [mA]</t>
  </si>
  <si>
    <t>Err d.d.p [V]</t>
  </si>
  <si>
    <t>Corrente [A]</t>
  </si>
  <si>
    <t>Err corrente [A]</t>
  </si>
  <si>
    <t>Corrente^2 [A^2]</t>
  </si>
  <si>
    <t>Err Corrente^2 [A^2]</t>
  </si>
  <si>
    <t>Coefficiente Angolare [V/A^2]</t>
  </si>
  <si>
    <t>Raggio Circonferenza [m]</t>
  </si>
  <si>
    <t>B/I_H [T/A]</t>
  </si>
  <si>
    <t>e/m [C/kg]</t>
  </si>
  <si>
    <t>∂(e/m)/∂alfa</t>
  </si>
  <si>
    <t>Errore e/m [C/kg]</t>
  </si>
  <si>
    <t>Sigma Coeff. Angolare [V/A^2]</t>
  </si>
  <si>
    <t>Err Raggio [m]</t>
  </si>
  <si>
    <t>∂(e/m)/∂R</t>
  </si>
  <si>
    <t>Discrepanza Percentuale</t>
  </si>
  <si>
    <t>Errore Coeff. Angolare [V/A^2]</t>
  </si>
  <si>
    <t>2° SET</t>
  </si>
  <si>
    <t>∂(e/m)/alfa</t>
  </si>
  <si>
    <t>Fit sulla Circonferenza</t>
  </si>
  <si>
    <t>Equazione: y=A-sqrt(-x^2+Bx+C)</t>
  </si>
  <si>
    <t>L</t>
  </si>
  <si>
    <t>yup​</t>
  </si>
  <si>
    <t>ydown​ (he bella cosa he hai detto)</t>
  </si>
  <si>
    <t>FIT</t>
  </si>
  <si>
    <t>Parametro</t>
  </si>
  <si>
    <t>Valore (yup​)</t>
  </si>
  <si>
    <t>Errore (yup​)</t>
  </si>
  <si>
    <t>Valore (ydown​)</t>
  </si>
  <si>
    <t>Errore (ydown​)</t>
  </si>
  <si>
    <t>A</t>
  </si>
  <si>
    <t>B</t>
  </si>
  <si>
    <t>C</t>
  </si>
  <si>
    <t>dove:</t>
  </si>
  <si>
    <t>R=sqrt(C+(B/2)^2)</t>
  </si>
  <si>
    <t>R_up</t>
  </si>
  <si>
    <t>R_medio</t>
  </si>
  <si>
    <t>R_down</t>
  </si>
  <si>
    <t>Err</t>
  </si>
  <si>
    <t>riferimenti desmos:</t>
  </si>
  <si>
    <t>https://www.desmos.com/calculator/vnor310apg</t>
  </si>
  <si>
    <t>maestro assoluto, bellissimo</t>
  </si>
  <si>
    <t>:-)</t>
  </si>
  <si>
    <t>NOTA: up e down rispetto alla curvatura indicano punti rispettivamente più vicini (bordo superiore del fascio) e più lontani al centro, per questo R_up&lt;R_down</t>
  </si>
  <si>
    <t>h [J/s]</t>
  </si>
  <si>
    <t>m_e [kg]</t>
  </si>
  <si>
    <t>e [C]</t>
  </si>
  <si>
    <t>d_10 [m]</t>
  </si>
  <si>
    <t>D_11 [m]</t>
  </si>
  <si>
    <t>L [m]</t>
  </si>
  <si>
    <t>RAGGI</t>
  </si>
  <si>
    <t>R10_up [mm]</t>
  </si>
  <si>
    <t>R_10 [m]</t>
  </si>
  <si>
    <t>R10_down [mm]</t>
  </si>
  <si>
    <t>R11_up [mm]</t>
  </si>
  <si>
    <t>Err Raggio [mm]</t>
  </si>
  <si>
    <t>ddp [kV]</t>
  </si>
  <si>
    <t>Errore lambda_10 [m]</t>
  </si>
  <si>
    <t>lambda_10 [m]</t>
  </si>
  <si>
    <t>R_11 [m]</t>
  </si>
  <si>
    <t>lambda_11 [m]</t>
  </si>
  <si>
    <t>Errore lambda_11 [m]</t>
  </si>
  <si>
    <t>∂lambda/∂U</t>
  </si>
  <si>
    <t>Errore Assoluto [m]</t>
  </si>
  <si>
    <t>lambda_DB [m]</t>
  </si>
  <si>
    <t>∂lambda/∂R</t>
  </si>
  <si>
    <t>∂lambda/∂L</t>
  </si>
  <si>
    <t>∆L [m]</t>
  </si>
  <si>
    <t>COSTANTI</t>
  </si>
  <si>
    <t>d.d.p [kV]</t>
  </si>
  <si>
    <t>Errore d.d.p [kV]</t>
  </si>
  <si>
    <t>3° SET</t>
  </si>
  <si>
    <t>CONFRONTO LAMBDA</t>
  </si>
  <si>
    <t>De Broglie</t>
  </si>
  <si>
    <t>lambda_DB [nm]</t>
  </si>
  <si>
    <t>Errore Assoluto [nm]</t>
  </si>
  <si>
    <t>Errore lambda_10 [nm]</t>
  </si>
  <si>
    <t>lambda_11 [nm]</t>
  </si>
  <si>
    <t>Errore lambda_11 [nm]</t>
  </si>
  <si>
    <t>c2</t>
  </si>
  <si>
    <t>v</t>
  </si>
  <si>
    <t>c1</t>
  </si>
  <si>
    <t>Set</t>
  </si>
  <si>
    <t>Voltaggio [V]</t>
  </si>
  <si>
    <t>R10 [mm]</t>
  </si>
  <si>
    <t>Err R10 [mm]</t>
  </si>
  <si>
    <t>R11 [mm]</t>
  </si>
  <si>
    <t>Err R11 [mm]</t>
  </si>
  <si>
    <t>Raggi dal codice</t>
  </si>
  <si>
    <t xml:space="preserve">nota: c1 e c2 sono i primi due set presi da carmelo, v è il mio set. </t>
  </si>
  <si>
    <t>RAGGI DAL CODICE</t>
  </si>
  <si>
    <t>ANALISI DATI 1° SET</t>
  </si>
  <si>
    <t>Err R_10 [m]</t>
  </si>
  <si>
    <t>Err R_11 [m]</t>
  </si>
  <si>
    <t>λ_DB [m]</t>
  </si>
  <si>
    <t>∂λ/∂U</t>
  </si>
  <si>
    <t>Err λ_DB  [m]</t>
  </si>
  <si>
    <t>λ_10 [m]</t>
  </si>
  <si>
    <t>∂λ/∂R</t>
  </si>
  <si>
    <t>∂λ/∂L</t>
  </si>
  <si>
    <t>Err λ_10 [m]</t>
  </si>
  <si>
    <t>λ_11 [m]</t>
  </si>
  <si>
    <t>Err λ_11 [m]</t>
  </si>
  <si>
    <t>ANALISI DATI 2° SET</t>
  </si>
  <si>
    <t>ANALISI DATI 3° SET</t>
  </si>
  <si>
    <t>err d.d.p [kV]</t>
  </si>
  <si>
    <t>λ_DB [nm]</t>
  </si>
  <si>
    <t>err λ_DB [nm]</t>
  </si>
  <si>
    <t>λ_10 [nm]</t>
  </si>
  <si>
    <t>err λ_10 [nm]</t>
  </si>
  <si>
    <t>err λ_11 [nm]</t>
  </si>
  <si>
    <t>λ_11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</si>
</sst>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"/>
    <numFmt numFmtId="167" formatCode="0.000000E+00"/>
    <numFmt numFmtId="168" formatCode="0.0000E+00"/>
  </numFmts>
  <fonts count="1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1F1F1F"/>
      <name val="Google Sans Text"/>
      <family val="2"/>
      <charset val="1"/>
    </font>
    <font>
      <sz val="12"/>
      <color rgb="FF1F1F1F"/>
      <name val="Google Sans Text"/>
      <family val="2"/>
      <charset val="1"/>
    </font>
    <font>
      <b/>
      <sz val="12"/>
      <color rgb="FF1F1F1F"/>
      <name val="Google Sans Text"/>
      <charset val="1"/>
    </font>
    <font>
      <b/>
      <sz val="12"/>
      <color theme="1"/>
      <name val="Aptos Narrow"/>
      <family val="2"/>
      <scheme val="minor"/>
    </font>
    <font>
      <b/>
      <sz val="12"/>
      <color rgb="FF000000"/>
      <name val="Google Sans Text"/>
      <family val="2"/>
      <charset val="1"/>
    </font>
    <font>
      <sz val="12"/>
      <color theme="1"/>
      <name val="Google Sans Text"/>
      <charset val="1"/>
    </font>
    <font>
      <sz val="12"/>
      <color rgb="FF1F1F1F"/>
      <name val="Google Sans Text"/>
      <charset val="1"/>
    </font>
  </fonts>
  <fills count="2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8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2" fontId="0" fillId="0" borderId="2" xfId="0" applyNumberFormat="1" applyBorder="1"/>
    <xf numFmtId="164" fontId="0" fillId="0" borderId="2" xfId="0" applyNumberFormat="1" applyBorder="1"/>
    <xf numFmtId="166" fontId="0" fillId="0" borderId="2" xfId="0" applyNumberFormat="1" applyBorder="1"/>
    <xf numFmtId="165" fontId="0" fillId="0" borderId="2" xfId="0" applyNumberFormat="1" applyBorder="1"/>
    <xf numFmtId="166" fontId="0" fillId="0" borderId="4" xfId="0" applyNumberFormat="1" applyBorder="1"/>
    <xf numFmtId="2" fontId="0" fillId="0" borderId="5" xfId="0" applyNumberFormat="1" applyBorder="1"/>
    <xf numFmtId="165" fontId="0" fillId="0" borderId="3" xfId="0" applyNumberFormat="1" applyBorder="1"/>
    <xf numFmtId="167" fontId="0" fillId="0" borderId="0" xfId="0" applyNumberFormat="1"/>
    <xf numFmtId="0" fontId="0" fillId="4" borderId="1" xfId="0" applyFill="1" applyBorder="1"/>
    <xf numFmtId="0" fontId="0" fillId="5" borderId="1" xfId="0" applyFill="1" applyBorder="1"/>
    <xf numFmtId="0" fontId="5" fillId="0" borderId="6" xfId="0" applyFont="1" applyBorder="1" applyAlignment="1">
      <alignment readingOrder="1"/>
    </xf>
    <xf numFmtId="0" fontId="6" fillId="0" borderId="6" xfId="0" applyFont="1" applyBorder="1" applyAlignment="1">
      <alignment readingOrder="1"/>
    </xf>
    <xf numFmtId="0" fontId="7" fillId="0" borderId="0" xfId="0" applyFont="1" applyAlignment="1">
      <alignment readingOrder="1"/>
    </xf>
    <xf numFmtId="0" fontId="4" fillId="0" borderId="0" xfId="2"/>
    <xf numFmtId="9" fontId="0" fillId="0" borderId="0" xfId="1" applyFont="1"/>
    <xf numFmtId="0" fontId="0" fillId="0" borderId="7" xfId="0" applyBorder="1"/>
    <xf numFmtId="167" fontId="0" fillId="0" borderId="7" xfId="0" applyNumberFormat="1" applyBorder="1"/>
    <xf numFmtId="0" fontId="0" fillId="0" borderId="9" xfId="0" applyBorder="1"/>
    <xf numFmtId="4" fontId="0" fillId="0" borderId="9" xfId="0" applyNumberFormat="1" applyBorder="1"/>
    <xf numFmtId="0" fontId="0" fillId="0" borderId="8" xfId="0" applyBorder="1"/>
    <xf numFmtId="11" fontId="0" fillId="0" borderId="0" xfId="0" applyNumberFormat="1"/>
    <xf numFmtId="0" fontId="0" fillId="6" borderId="9" xfId="0" applyFill="1" applyBorder="1"/>
    <xf numFmtId="0" fontId="0" fillId="6" borderId="10" xfId="0" applyFill="1" applyBorder="1"/>
    <xf numFmtId="0" fontId="0" fillId="6" borderId="7" xfId="0" applyFill="1" applyBorder="1"/>
    <xf numFmtId="0" fontId="0" fillId="7" borderId="9" xfId="0" applyFill="1" applyBorder="1"/>
    <xf numFmtId="0" fontId="0" fillId="7" borderId="7" xfId="0" applyFill="1" applyBorder="1"/>
    <xf numFmtId="0" fontId="0" fillId="4" borderId="9" xfId="0" applyFill="1" applyBorder="1"/>
    <xf numFmtId="0" fontId="0" fillId="4" borderId="7" xfId="0" applyFill="1" applyBorder="1"/>
    <xf numFmtId="0" fontId="0" fillId="5" borderId="9" xfId="0" applyFill="1" applyBorder="1"/>
    <xf numFmtId="0" fontId="0" fillId="5" borderId="7" xfId="0" applyFill="1" applyBorder="1"/>
    <xf numFmtId="0" fontId="0" fillId="8" borderId="9" xfId="0" applyFill="1" applyBorder="1"/>
    <xf numFmtId="0" fontId="0" fillId="8" borderId="7" xfId="0" applyFill="1" applyBorder="1"/>
    <xf numFmtId="0" fontId="9" fillId="9" borderId="6" xfId="0" applyFont="1" applyFill="1" applyBorder="1" applyAlignment="1">
      <alignment readingOrder="1"/>
    </xf>
    <xf numFmtId="0" fontId="5" fillId="10" borderId="6" xfId="0" applyFont="1" applyFill="1" applyBorder="1" applyAlignment="1">
      <alignment readingOrder="1"/>
    </xf>
    <xf numFmtId="0" fontId="5" fillId="11" borderId="6" xfId="0" applyFont="1" applyFill="1" applyBorder="1" applyAlignment="1">
      <alignment readingOrder="1"/>
    </xf>
    <xf numFmtId="0" fontId="9" fillId="10" borderId="6" xfId="0" applyFont="1" applyFill="1" applyBorder="1" applyAlignment="1">
      <alignment readingOrder="1"/>
    </xf>
    <xf numFmtId="0" fontId="5" fillId="12" borderId="6" xfId="0" applyFont="1" applyFill="1" applyBorder="1" applyAlignment="1">
      <alignment readingOrder="1"/>
    </xf>
    <xf numFmtId="0" fontId="6" fillId="13" borderId="6" xfId="0" applyFont="1" applyFill="1" applyBorder="1" applyAlignment="1">
      <alignment readingOrder="1"/>
    </xf>
    <xf numFmtId="0" fontId="6" fillId="14" borderId="6" xfId="0" applyFont="1" applyFill="1" applyBorder="1" applyAlignment="1">
      <alignment readingOrder="1"/>
    </xf>
    <xf numFmtId="0" fontId="0" fillId="15" borderId="0" xfId="0" applyFill="1"/>
    <xf numFmtId="0" fontId="0" fillId="15" borderId="11" xfId="0" applyFill="1" applyBorder="1"/>
    <xf numFmtId="0" fontId="6" fillId="16" borderId="6" xfId="0" applyFont="1" applyFill="1" applyBorder="1" applyAlignment="1">
      <alignment readingOrder="1"/>
    </xf>
    <xf numFmtId="0" fontId="5" fillId="9" borderId="6" xfId="0" applyFont="1" applyFill="1" applyBorder="1" applyAlignment="1">
      <alignment readingOrder="1"/>
    </xf>
    <xf numFmtId="11" fontId="0" fillId="0" borderId="7" xfId="0" applyNumberFormat="1" applyBorder="1"/>
    <xf numFmtId="0" fontId="0" fillId="17" borderId="7" xfId="0" applyFill="1" applyBorder="1"/>
    <xf numFmtId="0" fontId="0" fillId="3" borderId="7" xfId="0" applyFill="1" applyBorder="1"/>
    <xf numFmtId="11" fontId="10" fillId="0" borderId="7" xfId="0" applyNumberFormat="1" applyFont="1" applyBorder="1"/>
    <xf numFmtId="0" fontId="10" fillId="0" borderId="7" xfId="0" applyFont="1" applyBorder="1"/>
    <xf numFmtId="2" fontId="0" fillId="0" borderId="7" xfId="0" applyNumberFormat="1" applyBorder="1"/>
    <xf numFmtId="165" fontId="0" fillId="0" borderId="7" xfId="0" applyNumberFormat="1" applyBorder="1"/>
    <xf numFmtId="0" fontId="2" fillId="0" borderId="7" xfId="0" applyFont="1" applyBorder="1"/>
    <xf numFmtId="2" fontId="0" fillId="0" borderId="14" xfId="0" applyNumberFormat="1" applyBorder="1"/>
    <xf numFmtId="0" fontId="0" fillId="0" borderId="15" xfId="0" applyBorder="1"/>
    <xf numFmtId="165" fontId="0" fillId="0" borderId="0" xfId="0" applyNumberFormat="1"/>
    <xf numFmtId="0" fontId="0" fillId="0" borderId="12" xfId="0" applyBorder="1"/>
    <xf numFmtId="0" fontId="0" fillId="0" borderId="13" xfId="0" applyBorder="1"/>
    <xf numFmtId="168" fontId="0" fillId="0" borderId="0" xfId="0" applyNumberFormat="1"/>
    <xf numFmtId="0" fontId="7" fillId="0" borderId="6" xfId="0" applyFont="1" applyBorder="1" applyAlignment="1">
      <alignment readingOrder="1"/>
    </xf>
    <xf numFmtId="0" fontId="11" fillId="0" borderId="6" xfId="0" applyFont="1" applyBorder="1" applyAlignment="1">
      <alignment readingOrder="1"/>
    </xf>
    <xf numFmtId="0" fontId="7" fillId="0" borderId="7" xfId="0" applyFont="1" applyBorder="1" applyAlignment="1">
      <alignment readingOrder="1"/>
    </xf>
    <xf numFmtId="0" fontId="11" fillId="0" borderId="7" xfId="0" applyFont="1" applyBorder="1" applyAlignment="1">
      <alignment readingOrder="1"/>
    </xf>
    <xf numFmtId="0" fontId="11" fillId="19" borderId="7" xfId="0" applyFont="1" applyFill="1" applyBorder="1" applyAlignment="1">
      <alignment readingOrder="1"/>
    </xf>
    <xf numFmtId="0" fontId="11" fillId="10" borderId="7" xfId="0" applyFont="1" applyFill="1" applyBorder="1" applyAlignment="1">
      <alignment readingOrder="1"/>
    </xf>
    <xf numFmtId="0" fontId="11" fillId="11" borderId="7" xfId="0" applyFont="1" applyFill="1" applyBorder="1" applyAlignment="1">
      <alignment readingOrder="1"/>
    </xf>
    <xf numFmtId="166" fontId="0" fillId="0" borderId="7" xfId="0" applyNumberFormat="1" applyBorder="1"/>
    <xf numFmtId="0" fontId="0" fillId="20" borderId="7" xfId="0" applyFill="1" applyBorder="1"/>
    <xf numFmtId="0" fontId="0" fillId="10" borderId="1" xfId="0" applyFill="1" applyBorder="1"/>
    <xf numFmtId="0" fontId="0" fillId="18" borderId="15" xfId="0" applyFill="1" applyBorder="1"/>
    <xf numFmtId="0" fontId="0" fillId="19" borderId="15" xfId="0" applyFill="1" applyBorder="1"/>
    <xf numFmtId="0" fontId="0" fillId="18" borderId="7" xfId="0" applyFill="1" applyBorder="1"/>
    <xf numFmtId="0" fontId="0" fillId="19" borderId="7" xfId="0" applyFill="1" applyBorder="1"/>
    <xf numFmtId="0" fontId="0" fillId="10" borderId="2" xfId="0" applyFill="1" applyBorder="1"/>
    <xf numFmtId="0" fontId="0" fillId="20" borderId="8" xfId="0" applyFill="1" applyBorder="1"/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2" fillId="21" borderId="7" xfId="0" applyFont="1" applyFill="1" applyBorder="1" applyAlignment="1">
      <alignment horizontal="center"/>
    </xf>
    <xf numFmtId="0" fontId="2" fillId="19" borderId="7" xfId="0" applyFont="1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9" borderId="7" xfId="0" applyFill="1" applyBorder="1" applyAlignment="1">
      <alignment horizontal="center"/>
    </xf>
  </cellXfs>
  <cellStyles count="3">
    <cellStyle name="Hyperlink" xfId="2" xr:uid="{00000000-000B-0000-0000-000008000000}"/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228600</xdr:colOff>
      <xdr:row>22</xdr:row>
      <xdr:rowOff>152400</xdr:rowOff>
    </xdr:from>
    <xdr:ext cx="6654800" cy="1028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asellaDiTesto 24">
              <a:extLst>
                <a:ext uri="{FF2B5EF4-FFF2-40B4-BE49-F238E27FC236}">
                  <a16:creationId xmlns:a16="http://schemas.microsoft.com/office/drawing/2014/main" id="{0CAF842D-E5F1-45EB-57A3-BFCCCE42D1C4}"/>
                </a:ext>
              </a:extLst>
            </xdr:cNvPr>
            <xdr:cNvSpPr txBox="1"/>
          </xdr:nvSpPr>
          <xdr:spPr>
            <a:xfrm>
              <a:off x="3200400" y="4622800"/>
              <a:ext cx="6654800" cy="102870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it-IT" sz="32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it-IT" sz="3200" b="0" i="1">
                          <a:latin typeface="Cambria Math" panose="02040503050406030204" pitchFamily="18" charset="0"/>
                        </a:rPr>
                        <m:t>𝑈</m:t>
                      </m:r>
                    </m:e>
                    <m:sub>
                      <m:r>
                        <a:rPr lang="it-IT" sz="3200" b="0" i="1">
                          <a:latin typeface="Cambria Math" panose="02040503050406030204" pitchFamily="18" charset="0"/>
                        </a:rPr>
                        <m:t>𝐴</m:t>
                      </m:r>
                    </m:sub>
                  </m:sSub>
                  <m:r>
                    <a:rPr lang="it-IT" sz="32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it-IT" sz="3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3200" b="0" i="1">
                          <a:latin typeface="Cambria Math" panose="02040503050406030204" pitchFamily="18" charset="0"/>
                        </a:rPr>
                        <m:t>𝑒</m:t>
                      </m:r>
                    </m:num>
                    <m:den>
                      <m:r>
                        <a:rPr lang="it-IT" sz="3200" b="0" i="1">
                          <a:latin typeface="Cambria Math" panose="02040503050406030204" pitchFamily="18" charset="0"/>
                        </a:rPr>
                        <m:t>𝑚</m:t>
                      </m:r>
                    </m:den>
                  </m:f>
                  <m:r>
                    <a:rPr lang="it-IT" sz="3200" b="0" i="1">
                      <a:latin typeface="Cambria Math" panose="02040503050406030204" pitchFamily="18" charset="0"/>
                    </a:rPr>
                    <m:t> </m:t>
                  </m:r>
                  <m:f>
                    <m:fPr>
                      <m:ctrlPr>
                        <a:rPr lang="it-IT" sz="3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p>
                        <m:sSupPr>
                          <m:ctrlPr>
                            <a:rPr lang="it-IT" sz="32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3200" b="0" i="1">
                              <a:latin typeface="Cambria Math" panose="02040503050406030204" pitchFamily="18" charset="0"/>
                            </a:rPr>
                            <m:t>𝐵</m:t>
                          </m:r>
                        </m:e>
                        <m:sup>
                          <m:r>
                            <a:rPr lang="it-IT" sz="32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  <m:r>
                        <a:rPr lang="it-IT" sz="3200" b="0" i="1">
                          <a:latin typeface="Cambria Math" panose="02040503050406030204" pitchFamily="18" charset="0"/>
                        </a:rPr>
                        <m:t>𝑅</m:t>
                      </m:r>
                      <m:r>
                        <a:rPr lang="it-IT" sz="3200" b="0" i="1">
                          <a:latin typeface="Cambria Math" panose="02040503050406030204" pitchFamily="18" charset="0"/>
                        </a:rPr>
                        <m:t>^</m:t>
                      </m:r>
                      <m:r>
                        <a:rPr lang="it-IT" sz="3200" b="0" i="1">
                          <a:latin typeface="Cambria Math" panose="02040503050406030204" pitchFamily="18" charset="0"/>
                        </a:rPr>
                        <m:t>2</m:t>
                      </m:r>
                    </m:num>
                    <m:den>
                      <m:r>
                        <a:rPr lang="it-IT" sz="32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it-IT" sz="32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it-IT" sz="3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p>
                        <m:sSupPr>
                          <m:ctrlPr>
                            <a:rPr lang="it-IT" sz="32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d>
                            <m:dPr>
                              <m:ctrlPr>
                                <a:rPr lang="it-IT" sz="3200" b="0" i="1">
                                  <a:latin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a:rPr lang="it-IT" sz="3200" b="0" i="1">
                                  <a:latin typeface="Cambria Math" panose="02040503050406030204" pitchFamily="18" charset="0"/>
                                </a:rPr>
                                <m:t>4</m:t>
                              </m:r>
                              <m:r>
                                <a:rPr lang="it-IT" sz="3200" b="0" i="1">
                                  <a:latin typeface="Cambria Math" panose="02040503050406030204" pitchFamily="18" charset="0"/>
                                </a:rPr>
                                <m:t>,</m:t>
                              </m:r>
                              <m:r>
                                <a:rPr lang="it-IT" sz="3200" b="0" i="1">
                                  <a:latin typeface="Cambria Math" panose="02040503050406030204" pitchFamily="18" charset="0"/>
                                </a:rPr>
                                <m:t>17</m:t>
                              </m:r>
                              <m:r>
                                <a:rPr lang="it-IT" sz="3200" b="0" i="1">
                                  <a:latin typeface="Cambria Math" panose="02040503050406030204" pitchFamily="18" charset="0"/>
                                </a:rPr>
                                <m:t> × </m:t>
                              </m:r>
                              <m:sSup>
                                <m:sSupPr>
                                  <m:ctrlPr>
                                    <a:rPr lang="it-IT" sz="3200" b="0" i="1">
                                      <a:latin typeface="Cambria Math" panose="02040503050406030204" pitchFamily="18" charset="0"/>
                                    </a:rPr>
                                  </m:ctrlPr>
                                </m:sSupPr>
                                <m:e>
                                  <m:r>
                                    <a:rPr lang="it-IT" sz="3200" b="0" i="1">
                                      <a:latin typeface="Cambria Math" panose="02040503050406030204" pitchFamily="18" charset="0"/>
                                    </a:rPr>
                                    <m:t>10</m:t>
                                  </m:r>
                                </m:e>
                                <m:sup>
                                  <m:r>
                                    <a:rPr lang="it-IT" sz="3200" b="0" i="1">
                                      <a:latin typeface="Cambria Math" panose="02040503050406030204" pitchFamily="18" charset="0"/>
                                    </a:rPr>
                                    <m:t>−</m:t>
                                  </m:r>
                                  <m:r>
                                    <a:rPr lang="it-IT" sz="3200" b="0" i="1">
                                      <a:latin typeface="Cambria Math" panose="02040503050406030204" pitchFamily="18" charset="0"/>
                                    </a:rPr>
                                    <m:t>3</m:t>
                                  </m:r>
                                </m:sup>
                              </m:sSup>
                            </m:e>
                          </m:d>
                        </m:e>
                        <m:sup>
                          <m:r>
                            <a:rPr lang="it-IT" sz="32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  <m:sSup>
                        <m:sSupPr>
                          <m:ctrlPr>
                            <a:rPr lang="it-IT" sz="32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it-IT" sz="3200" b="0" i="1">
                              <a:latin typeface="Cambria Math" panose="02040503050406030204" pitchFamily="18" charset="0"/>
                            </a:rPr>
                            <m:t>𝑅</m:t>
                          </m:r>
                        </m:e>
                        <m:sup>
                          <m:r>
                            <a:rPr lang="it-IT" sz="32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</m:num>
                    <m:den>
                      <m:r>
                        <a:rPr lang="it-IT" sz="32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it-IT" sz="3200" b="0" i="1">
                      <a:latin typeface="Cambria Math" panose="02040503050406030204" pitchFamily="18" charset="0"/>
                    </a:rPr>
                    <m:t> </m:t>
                  </m:r>
                  <m:f>
                    <m:fPr>
                      <m:ctrlPr>
                        <a:rPr lang="it-IT" sz="3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it-IT" sz="3200" b="0" i="1">
                          <a:latin typeface="Cambria Math" panose="02040503050406030204" pitchFamily="18" charset="0"/>
                        </a:rPr>
                        <m:t>𝑒</m:t>
                      </m:r>
                    </m:num>
                    <m:den>
                      <m:r>
                        <a:rPr lang="it-IT" sz="3200" b="0" i="1">
                          <a:latin typeface="Cambria Math" panose="02040503050406030204" pitchFamily="18" charset="0"/>
                        </a:rPr>
                        <m:t>𝑚</m:t>
                      </m:r>
                    </m:den>
                  </m:f>
                  <m:r>
                    <a:rPr lang="it-IT" sz="3200" b="0" i="1">
                      <a:latin typeface="Cambria Math" panose="02040503050406030204" pitchFamily="18" charset="0"/>
                    </a:rPr>
                    <m:t> </m:t>
                  </m:r>
                  <m:sSubSup>
                    <m:sSubSupPr>
                      <m:ctrlPr>
                        <a:rPr lang="it-IT" sz="3200" b="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it-IT" sz="32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a:rPr lang="it-IT" sz="3200" b="0" i="1">
                          <a:latin typeface="Cambria Math" panose="02040503050406030204" pitchFamily="18" charset="0"/>
                        </a:rPr>
                        <m:t>𝐻</m:t>
                      </m:r>
                    </m:sub>
                    <m:sup>
                      <m:r>
                        <a:rPr lang="it-IT" sz="32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bSup>
                </m:oMath>
              </a14:m>
              <a:r>
                <a:rPr lang="it-IT" sz="3200"/>
                <a:t>  </a:t>
              </a:r>
            </a:p>
          </xdr:txBody>
        </xdr:sp>
      </mc:Choice>
      <mc:Fallback xmlns="">
        <xdr:sp macro="" textlink="">
          <xdr:nvSpPr>
            <xdr:cNvPr id="25" name="CasellaDiTesto 24">
              <a:extLst>
                <a:ext uri="{FF2B5EF4-FFF2-40B4-BE49-F238E27FC236}">
                  <a16:creationId xmlns:a16="http://schemas.microsoft.com/office/drawing/2014/main" id="{0CAF842D-E5F1-45EB-57A3-BFCCCE42D1C4}"/>
                </a:ext>
              </a:extLst>
            </xdr:cNvPr>
            <xdr:cNvSpPr txBox="1"/>
          </xdr:nvSpPr>
          <xdr:spPr>
            <a:xfrm>
              <a:off x="3200400" y="4622800"/>
              <a:ext cx="6654800" cy="102870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it-IT" sz="3200" b="0" i="0">
                  <a:latin typeface="Cambria Math" panose="02040503050406030204" pitchFamily="18" charset="0"/>
                </a:rPr>
                <a:t>𝑈_𝐴=𝑒/𝑚   (𝐵^2 𝑅^2)/2=  ((4,17 × 10^(−3) )^2 𝑅^2)/2   𝑒/𝑚  𝐼_𝐻^2</a:t>
              </a:r>
              <a:r>
                <a:rPr lang="it-IT" sz="3200"/>
                <a:t>  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desmos.com/calculator/vnor310a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02F6-2E8D-E24B-BDC8-854D4CF7062C}">
  <dimension ref="A1:U50"/>
  <sheetViews>
    <sheetView topLeftCell="A3" workbookViewId="0">
      <selection activeCell="B62" sqref="B62:C67"/>
    </sheetView>
  </sheetViews>
  <sheetFormatPr defaultColWidth="11" defaultRowHeight="15.6"/>
  <cols>
    <col min="1" max="1" width="12" bestFit="1" customWidth="1"/>
    <col min="2" max="2" width="12.296875" customWidth="1"/>
    <col min="3" max="3" width="34.19921875" bestFit="1" customWidth="1"/>
    <col min="6" max="6" width="12.296875" customWidth="1"/>
    <col min="7" max="7" width="13.19921875" bestFit="1" customWidth="1"/>
    <col min="9" max="9" width="14.796875" bestFit="1" customWidth="1"/>
    <col min="11" max="11" width="17.69921875" bestFit="1" customWidth="1"/>
    <col min="14" max="14" width="24.69921875" bestFit="1" customWidth="1"/>
    <col min="15" max="15" width="21.296875" bestFit="1" customWidth="1"/>
    <col min="16" max="16" width="12.5" customWidth="1"/>
    <col min="17" max="19" width="14.69921875" bestFit="1" customWidth="1"/>
    <col min="21" max="21" width="21.19921875" bestFit="1" customWidth="1"/>
  </cols>
  <sheetData>
    <row r="1" spans="1:21" ht="16.05" customHeight="1">
      <c r="A1" s="82" t="s">
        <v>0</v>
      </c>
      <c r="B1" s="82"/>
      <c r="C1" s="82"/>
      <c r="D1" s="82"/>
      <c r="E1" s="82" t="s">
        <v>0</v>
      </c>
      <c r="F1" s="82"/>
      <c r="G1" s="82"/>
      <c r="H1" s="82"/>
      <c r="I1" s="82" t="s">
        <v>0</v>
      </c>
      <c r="J1" s="82"/>
      <c r="K1" s="82"/>
      <c r="L1" s="82"/>
      <c r="N1" s="81" t="s">
        <v>1</v>
      </c>
      <c r="O1" s="81"/>
      <c r="P1" s="81"/>
      <c r="Q1" s="81"/>
      <c r="R1" s="81"/>
      <c r="S1" s="81"/>
      <c r="U1" t="s">
        <v>2</v>
      </c>
    </row>
    <row r="2" spans="1:21">
      <c r="A2" s="16" t="s">
        <v>3</v>
      </c>
      <c r="B2" s="15" t="s">
        <v>4</v>
      </c>
      <c r="C2" s="16" t="s">
        <v>5</v>
      </c>
      <c r="D2" s="15" t="s">
        <v>6</v>
      </c>
      <c r="E2" s="16" t="s">
        <v>7</v>
      </c>
      <c r="F2" s="15" t="s">
        <v>4</v>
      </c>
      <c r="G2" s="16" t="s">
        <v>8</v>
      </c>
      <c r="H2" s="15" t="s">
        <v>6</v>
      </c>
      <c r="I2" s="16" t="s">
        <v>9</v>
      </c>
      <c r="J2" s="15" t="s">
        <v>4</v>
      </c>
      <c r="K2" s="16" t="s">
        <v>10</v>
      </c>
      <c r="L2" s="15" t="s">
        <v>6</v>
      </c>
      <c r="N2" s="28" t="s">
        <v>11</v>
      </c>
      <c r="O2" s="31" t="s">
        <v>12</v>
      </c>
      <c r="P2" s="33" t="s">
        <v>13</v>
      </c>
      <c r="Q2" s="35" t="s">
        <v>14</v>
      </c>
      <c r="R2" s="37" t="s">
        <v>15</v>
      </c>
      <c r="S2" s="36" t="s">
        <v>16</v>
      </c>
      <c r="U2">
        <f>1.75888*10^11</f>
        <v>175888000000</v>
      </c>
    </row>
    <row r="3" spans="1:21">
      <c r="A3" s="2">
        <v>75.55</v>
      </c>
      <c r="B3" s="2">
        <v>122.5</v>
      </c>
      <c r="C3" s="2">
        <v>0.05</v>
      </c>
      <c r="D3" s="2">
        <v>1</v>
      </c>
      <c r="E3" s="4">
        <f>A3*10^-3</f>
        <v>7.5549999999999992E-2</v>
      </c>
      <c r="F3" s="2">
        <v>122.5</v>
      </c>
      <c r="G3" s="6">
        <f>C3*10^-3</f>
        <v>5.0000000000000002E-5</v>
      </c>
      <c r="H3" s="2">
        <v>1</v>
      </c>
      <c r="I3" s="5">
        <f t="shared" ref="I3:I8" si="0">E3^2</f>
        <v>5.7078024999999985E-3</v>
      </c>
      <c r="J3" s="2">
        <v>122.5</v>
      </c>
      <c r="K3" s="6">
        <f t="shared" ref="K3:K8" si="1">G3*2</f>
        <v>1E-4</v>
      </c>
      <c r="L3" s="2">
        <v>1</v>
      </c>
      <c r="N3" s="25">
        <v>20776.7</v>
      </c>
      <c r="O3" s="24">
        <f>I41*10^-3</f>
        <v>0.10826387616783537</v>
      </c>
      <c r="P3" s="24">
        <f>4.17*10^-3</f>
        <v>4.1700000000000001E-3</v>
      </c>
      <c r="Q3" s="24">
        <f>(2/P3^2)*(N3/O3^2)</f>
        <v>203876566281.02197</v>
      </c>
      <c r="R3" s="24">
        <f>(2/(P3^2*O3^2))</f>
        <v>9812750.1615281515</v>
      </c>
      <c r="S3" s="23">
        <f>SQRT((R3*N7)^2+(R5*O5)^2)</f>
        <v>6403879257.4145632</v>
      </c>
    </row>
    <row r="4" spans="1:21">
      <c r="A4" s="2">
        <v>76.400000000000006</v>
      </c>
      <c r="B4" s="2">
        <v>125.7</v>
      </c>
      <c r="C4" s="2">
        <v>0.05</v>
      </c>
      <c r="D4" s="2">
        <v>0.1</v>
      </c>
      <c r="E4" s="4">
        <f t="shared" ref="E4:E8" si="2">A4*10^-3</f>
        <v>7.640000000000001E-2</v>
      </c>
      <c r="F4" s="2">
        <v>125.7</v>
      </c>
      <c r="G4" s="6">
        <f t="shared" ref="G4:G8" si="3">C4*10^-3</f>
        <v>5.0000000000000002E-5</v>
      </c>
      <c r="H4" s="2">
        <v>0.1</v>
      </c>
      <c r="I4" s="5">
        <f t="shared" si="0"/>
        <v>5.8369600000000013E-3</v>
      </c>
      <c r="J4" s="2">
        <v>125.7</v>
      </c>
      <c r="K4" s="6">
        <f t="shared" si="1"/>
        <v>1E-4</v>
      </c>
      <c r="L4" s="2">
        <v>0.1</v>
      </c>
      <c r="N4" s="28" t="s">
        <v>17</v>
      </c>
      <c r="O4" s="32" t="s">
        <v>18</v>
      </c>
      <c r="R4" s="38" t="s">
        <v>19</v>
      </c>
      <c r="S4" s="14"/>
      <c r="U4" t="s">
        <v>20</v>
      </c>
    </row>
    <row r="5" spans="1:21">
      <c r="A5" s="2">
        <v>79.900000000000006</v>
      </c>
      <c r="B5" s="2">
        <v>131.9</v>
      </c>
      <c r="C5" s="2">
        <v>0.05</v>
      </c>
      <c r="D5" s="2">
        <v>0.5</v>
      </c>
      <c r="E5" s="4">
        <f t="shared" si="2"/>
        <v>7.9900000000000013E-2</v>
      </c>
      <c r="F5" s="2">
        <v>131.9</v>
      </c>
      <c r="G5" s="6">
        <f t="shared" si="3"/>
        <v>5.0000000000000002E-5</v>
      </c>
      <c r="H5" s="2">
        <v>0.5</v>
      </c>
      <c r="I5" s="5">
        <f t="shared" si="0"/>
        <v>6.3840100000000016E-3</v>
      </c>
      <c r="J5" s="2">
        <v>131.9</v>
      </c>
      <c r="K5" s="6">
        <f t="shared" si="1"/>
        <v>1E-4</v>
      </c>
      <c r="L5" s="2">
        <v>0.5</v>
      </c>
      <c r="N5" s="24">
        <v>217.536</v>
      </c>
      <c r="O5" s="22">
        <f>I42*10^-3</f>
        <v>2.0059392415050043E-3</v>
      </c>
      <c r="R5" s="22">
        <f>(2*N3*2*P3^2)/(O3^3)</f>
        <v>1138.8275215877763</v>
      </c>
      <c r="S5" s="14"/>
      <c r="U5" s="21">
        <f>((Q3-U2)/U2)</f>
        <v>0.15912720754697293</v>
      </c>
    </row>
    <row r="6" spans="1:21">
      <c r="A6" s="2">
        <v>82.16</v>
      </c>
      <c r="B6" s="2">
        <v>138.19999999999999</v>
      </c>
      <c r="C6" s="2">
        <v>0.05</v>
      </c>
      <c r="D6" s="2">
        <v>0.2</v>
      </c>
      <c r="E6" s="4">
        <f t="shared" si="2"/>
        <v>8.2159999999999997E-2</v>
      </c>
      <c r="F6" s="2">
        <v>138.19999999999999</v>
      </c>
      <c r="G6" s="6">
        <f t="shared" si="3"/>
        <v>5.0000000000000002E-5</v>
      </c>
      <c r="H6" s="2">
        <v>0.2</v>
      </c>
      <c r="I6" s="5">
        <f t="shared" si="0"/>
        <v>6.7502655999999994E-3</v>
      </c>
      <c r="J6" s="2">
        <v>138.19999999999999</v>
      </c>
      <c r="K6" s="6">
        <f t="shared" si="1"/>
        <v>1E-4</v>
      </c>
      <c r="L6" s="2">
        <v>0.2</v>
      </c>
      <c r="N6" s="28" t="s">
        <v>21</v>
      </c>
      <c r="S6" s="14"/>
    </row>
    <row r="7" spans="1:21">
      <c r="A7" s="7">
        <v>83.47</v>
      </c>
      <c r="B7" s="7">
        <v>143.1</v>
      </c>
      <c r="C7" s="7">
        <v>0.05</v>
      </c>
      <c r="D7" s="7">
        <v>0.5</v>
      </c>
      <c r="E7" s="8">
        <f t="shared" si="2"/>
        <v>8.3470000000000003E-2</v>
      </c>
      <c r="F7" s="7">
        <v>143.1</v>
      </c>
      <c r="G7" s="9">
        <f t="shared" si="3"/>
        <v>5.0000000000000002E-5</v>
      </c>
      <c r="H7" s="7">
        <v>0.5</v>
      </c>
      <c r="I7" s="10">
        <f t="shared" si="0"/>
        <v>6.9672409000000003E-3</v>
      </c>
      <c r="J7" s="7">
        <v>143.1</v>
      </c>
      <c r="K7" s="9">
        <f t="shared" si="1"/>
        <v>1E-4</v>
      </c>
      <c r="L7" s="7">
        <v>0.5</v>
      </c>
      <c r="N7" s="24">
        <f>N5*3</f>
        <v>652.60799999999995</v>
      </c>
      <c r="S7" s="27"/>
    </row>
    <row r="8" spans="1:21">
      <c r="A8" s="2">
        <v>86.8</v>
      </c>
      <c r="B8" s="2">
        <v>154.6</v>
      </c>
      <c r="C8" s="2">
        <v>0.5</v>
      </c>
      <c r="D8" s="2">
        <v>0.5</v>
      </c>
      <c r="E8" s="4">
        <f t="shared" si="2"/>
        <v>8.6800000000000002E-2</v>
      </c>
      <c r="F8" s="2">
        <v>154.6</v>
      </c>
      <c r="G8" s="11">
        <f t="shared" si="3"/>
        <v>5.0000000000000001E-4</v>
      </c>
      <c r="H8" s="2">
        <v>0.5</v>
      </c>
      <c r="I8" s="5">
        <f t="shared" si="0"/>
        <v>7.5342400000000002E-3</v>
      </c>
      <c r="J8" s="12">
        <v>154.6</v>
      </c>
      <c r="K8" s="6">
        <f t="shared" si="1"/>
        <v>1E-3</v>
      </c>
      <c r="L8" s="2">
        <v>0.5</v>
      </c>
    </row>
    <row r="9" spans="1:21">
      <c r="A9" s="3"/>
      <c r="B9" s="3"/>
      <c r="C9" s="3"/>
      <c r="D9" s="3"/>
      <c r="E9" s="3"/>
      <c r="F9" s="3"/>
      <c r="G9" s="3"/>
      <c r="H9" s="3"/>
      <c r="J9" s="3"/>
      <c r="K9" s="3"/>
      <c r="L9" s="3"/>
      <c r="M9" s="3"/>
    </row>
    <row r="10" spans="1:21">
      <c r="A10" s="3"/>
      <c r="B10" s="3"/>
      <c r="C10" s="3"/>
      <c r="D10" s="3"/>
      <c r="E10" s="3"/>
      <c r="F10" s="3"/>
      <c r="G10" s="3"/>
      <c r="H10" s="3"/>
      <c r="J10" s="3"/>
      <c r="K10" s="3"/>
      <c r="L10" s="3"/>
      <c r="M10" s="3"/>
    </row>
    <row r="11" spans="1:21">
      <c r="A11" s="3"/>
      <c r="B11" s="3"/>
      <c r="C11" s="3"/>
      <c r="D11" s="3"/>
      <c r="E11" s="3"/>
      <c r="F11" s="3"/>
      <c r="G11" s="3"/>
      <c r="H11" s="3"/>
      <c r="J11" s="3"/>
      <c r="K11" s="3"/>
      <c r="L11" s="3"/>
      <c r="M11" s="3"/>
    </row>
    <row r="12" spans="1:21" ht="16.05" customHeight="1">
      <c r="A12" s="83" t="s">
        <v>22</v>
      </c>
      <c r="B12" s="83"/>
      <c r="C12" s="83"/>
      <c r="D12" s="83"/>
      <c r="E12" s="83" t="s">
        <v>22</v>
      </c>
      <c r="F12" s="83"/>
      <c r="G12" s="83"/>
      <c r="H12" s="83"/>
      <c r="I12" s="83" t="s">
        <v>22</v>
      </c>
      <c r="J12" s="83"/>
      <c r="K12" s="83"/>
      <c r="L12" s="83"/>
      <c r="M12" s="3"/>
      <c r="N12" s="80" t="s">
        <v>1</v>
      </c>
      <c r="O12" s="81"/>
      <c r="P12" s="81"/>
      <c r="Q12" s="81"/>
      <c r="R12" s="81"/>
      <c r="S12" s="81"/>
    </row>
    <row r="13" spans="1:21">
      <c r="A13" s="16" t="s">
        <v>3</v>
      </c>
      <c r="B13" s="15" t="s">
        <v>4</v>
      </c>
      <c r="C13" s="16" t="s">
        <v>5</v>
      </c>
      <c r="D13" s="15" t="s">
        <v>6</v>
      </c>
      <c r="E13" s="16" t="s">
        <v>7</v>
      </c>
      <c r="F13" s="15" t="s">
        <v>4</v>
      </c>
      <c r="G13" s="16" t="s">
        <v>8</v>
      </c>
      <c r="H13" s="15" t="s">
        <v>6</v>
      </c>
      <c r="I13" s="16" t="s">
        <v>9</v>
      </c>
      <c r="J13" s="15" t="s">
        <v>4</v>
      </c>
      <c r="K13" s="16" t="s">
        <v>10</v>
      </c>
      <c r="L13" s="15" t="s">
        <v>6</v>
      </c>
      <c r="N13" s="29" t="s">
        <v>11</v>
      </c>
      <c r="O13" s="31" t="s">
        <v>12</v>
      </c>
      <c r="P13" s="34" t="s">
        <v>13</v>
      </c>
      <c r="Q13" s="36" t="s">
        <v>14</v>
      </c>
      <c r="R13" s="38" t="s">
        <v>23</v>
      </c>
      <c r="S13" s="36" t="s">
        <v>16</v>
      </c>
    </row>
    <row r="14" spans="1:21">
      <c r="A14" s="2">
        <v>69.099999999999994</v>
      </c>
      <c r="B14" s="2">
        <v>102.97</v>
      </c>
      <c r="C14" s="2">
        <v>0.1</v>
      </c>
      <c r="D14" s="2">
        <v>0.1</v>
      </c>
      <c r="E14" s="5">
        <f t="shared" ref="E14:E21" si="4">A14*10^-3</f>
        <v>6.9099999999999995E-2</v>
      </c>
      <c r="F14" s="2">
        <v>102.97</v>
      </c>
      <c r="G14" s="5">
        <f t="shared" ref="G14:G21" si="5">C14*10^-3</f>
        <v>1E-4</v>
      </c>
      <c r="H14" s="2">
        <v>0.1</v>
      </c>
      <c r="I14" s="6">
        <f t="shared" ref="I14:I21" si="6">E14^2</f>
        <v>4.7748099999999991E-3</v>
      </c>
      <c r="J14" s="2">
        <f t="shared" ref="J14:J21" si="7">B14</f>
        <v>102.97</v>
      </c>
      <c r="K14" s="6">
        <f t="shared" ref="K14:K21" si="8">G14*2</f>
        <v>2.0000000000000001E-4</v>
      </c>
      <c r="L14" s="2">
        <v>0.1</v>
      </c>
      <c r="N14" s="25">
        <v>20466.7</v>
      </c>
      <c r="O14" s="24">
        <f>O3</f>
        <v>0.10826387616783537</v>
      </c>
      <c r="P14" s="22">
        <f>4.17*10^-3</f>
        <v>4.1700000000000001E-3</v>
      </c>
      <c r="Q14" s="22">
        <f>(2/P14^2)*(N14/O14^2)</f>
        <v>200834613730.94824</v>
      </c>
      <c r="R14" s="26">
        <f>(2/(P14^2*O14^2))</f>
        <v>9812750.1615281515</v>
      </c>
      <c r="S14" s="23">
        <f>SQRT((R14*N18)^2+(R16*O16)^2)</f>
        <v>4492571406.4524336</v>
      </c>
    </row>
    <row r="15" spans="1:21">
      <c r="A15" s="2">
        <v>75.25</v>
      </c>
      <c r="B15" s="2">
        <v>115.76</v>
      </c>
      <c r="C15" s="2">
        <v>0.1</v>
      </c>
      <c r="D15" s="2">
        <v>0.1</v>
      </c>
      <c r="E15" s="5">
        <f t="shared" si="4"/>
        <v>7.5249999999999997E-2</v>
      </c>
      <c r="F15" s="2">
        <v>115.76</v>
      </c>
      <c r="G15" s="5">
        <f t="shared" si="5"/>
        <v>1E-4</v>
      </c>
      <c r="H15" s="2">
        <v>0.1</v>
      </c>
      <c r="I15" s="6">
        <f t="shared" si="6"/>
        <v>5.6625624999999992E-3</v>
      </c>
      <c r="J15" s="2">
        <f t="shared" si="7"/>
        <v>115.76</v>
      </c>
      <c r="K15" s="6">
        <f t="shared" si="8"/>
        <v>2.0000000000000001E-4</v>
      </c>
      <c r="L15" s="2">
        <v>0.1</v>
      </c>
      <c r="N15" s="28" t="s">
        <v>17</v>
      </c>
      <c r="O15" s="32" t="s">
        <v>18</v>
      </c>
      <c r="R15" s="38" t="s">
        <v>19</v>
      </c>
      <c r="S15" s="14"/>
    </row>
    <row r="16" spans="1:21">
      <c r="A16" s="2">
        <v>75.599999999999994</v>
      </c>
      <c r="B16" s="2">
        <v>120.5</v>
      </c>
      <c r="C16" s="2">
        <v>0.1</v>
      </c>
      <c r="D16" s="2">
        <v>0.1</v>
      </c>
      <c r="E16" s="5">
        <f t="shared" si="4"/>
        <v>7.5600000000000001E-2</v>
      </c>
      <c r="F16" s="2">
        <v>120.5</v>
      </c>
      <c r="G16" s="5">
        <f t="shared" si="5"/>
        <v>1E-4</v>
      </c>
      <c r="H16" s="2">
        <v>0.1</v>
      </c>
      <c r="I16" s="6">
        <f t="shared" si="6"/>
        <v>5.7153600000000001E-3</v>
      </c>
      <c r="J16" s="2">
        <f t="shared" si="7"/>
        <v>120.5</v>
      </c>
      <c r="K16" s="6">
        <f t="shared" si="8"/>
        <v>2.0000000000000001E-4</v>
      </c>
      <c r="L16" s="2">
        <v>0.1</v>
      </c>
      <c r="N16" s="24">
        <v>152.61000000000001</v>
      </c>
      <c r="O16" s="22">
        <f>O5</f>
        <v>2.0059392415050043E-3</v>
      </c>
      <c r="R16" s="22">
        <f>(2*N14*2*P14^2)/(O14^3)</f>
        <v>1121.8355771648307</v>
      </c>
      <c r="S16" s="14"/>
    </row>
    <row r="17" spans="1:14">
      <c r="A17" s="2">
        <v>79.83</v>
      </c>
      <c r="B17" s="2">
        <v>128.59</v>
      </c>
      <c r="C17" s="2">
        <v>0.1</v>
      </c>
      <c r="D17" s="2">
        <v>0.1</v>
      </c>
      <c r="E17" s="5">
        <f t="shared" si="4"/>
        <v>7.9829999999999998E-2</v>
      </c>
      <c r="F17" s="2">
        <v>128.59</v>
      </c>
      <c r="G17" s="5">
        <f t="shared" si="5"/>
        <v>1E-4</v>
      </c>
      <c r="H17" s="2">
        <v>0.1</v>
      </c>
      <c r="I17" s="6">
        <f t="shared" si="6"/>
        <v>6.3728288999999995E-3</v>
      </c>
      <c r="J17" s="2">
        <f t="shared" si="7"/>
        <v>128.59</v>
      </c>
      <c r="K17" s="6">
        <f t="shared" si="8"/>
        <v>2.0000000000000001E-4</v>
      </c>
      <c r="L17" s="2">
        <v>0.1</v>
      </c>
      <c r="N17" s="30" t="s">
        <v>21</v>
      </c>
    </row>
    <row r="18" spans="1:14">
      <c r="A18" s="2">
        <v>81.599999999999994</v>
      </c>
      <c r="B18" s="2">
        <v>135</v>
      </c>
      <c r="C18" s="2">
        <v>0.1</v>
      </c>
      <c r="D18" s="2">
        <v>0.1</v>
      </c>
      <c r="E18" s="5">
        <f t="shared" si="4"/>
        <v>8.1599999999999992E-2</v>
      </c>
      <c r="F18" s="2">
        <v>135</v>
      </c>
      <c r="G18" s="5">
        <f t="shared" si="5"/>
        <v>1E-4</v>
      </c>
      <c r="H18" s="2">
        <v>0.1</v>
      </c>
      <c r="I18" s="6">
        <f t="shared" si="6"/>
        <v>6.6585599999999983E-3</v>
      </c>
      <c r="J18" s="2">
        <f t="shared" si="7"/>
        <v>135</v>
      </c>
      <c r="K18" s="6">
        <f t="shared" si="8"/>
        <v>2.0000000000000001E-4</v>
      </c>
      <c r="L18" s="2">
        <v>0.1</v>
      </c>
      <c r="N18" s="22">
        <f>N16*3</f>
        <v>457.83000000000004</v>
      </c>
    </row>
    <row r="19" spans="1:14">
      <c r="A19" s="7">
        <v>83.6</v>
      </c>
      <c r="B19" s="7">
        <v>142.5</v>
      </c>
      <c r="C19" s="7">
        <v>0.1</v>
      </c>
      <c r="D19" s="7">
        <v>0.1</v>
      </c>
      <c r="E19" s="10">
        <f t="shared" si="4"/>
        <v>8.3599999999999994E-2</v>
      </c>
      <c r="F19" s="7">
        <v>142.5</v>
      </c>
      <c r="G19" s="13">
        <f t="shared" si="5"/>
        <v>1E-4</v>
      </c>
      <c r="H19" s="7">
        <v>0.1</v>
      </c>
      <c r="I19" s="6">
        <f t="shared" si="6"/>
        <v>6.9889599999999989E-3</v>
      </c>
      <c r="J19" s="2">
        <f t="shared" si="7"/>
        <v>142.5</v>
      </c>
      <c r="K19" s="6">
        <f t="shared" si="8"/>
        <v>2.0000000000000001E-4</v>
      </c>
      <c r="L19" s="7">
        <v>0.1</v>
      </c>
    </row>
    <row r="20" spans="1:14">
      <c r="A20" s="1">
        <v>84.2</v>
      </c>
      <c r="B20" s="1">
        <v>145.30000000000001</v>
      </c>
      <c r="C20" s="2">
        <v>0.1</v>
      </c>
      <c r="D20" s="2">
        <v>0.1</v>
      </c>
      <c r="E20" s="5">
        <f t="shared" si="4"/>
        <v>8.4200000000000011E-2</v>
      </c>
      <c r="F20" s="1">
        <v>145.30000000000001</v>
      </c>
      <c r="G20" s="5">
        <f t="shared" si="5"/>
        <v>1E-4</v>
      </c>
      <c r="H20" s="2">
        <v>0.1</v>
      </c>
      <c r="I20" s="6">
        <f t="shared" si="6"/>
        <v>7.0896400000000021E-3</v>
      </c>
      <c r="J20" s="2">
        <f t="shared" si="7"/>
        <v>145.30000000000001</v>
      </c>
      <c r="K20" s="6">
        <f t="shared" si="8"/>
        <v>2.0000000000000001E-4</v>
      </c>
      <c r="L20" s="2">
        <v>0.1</v>
      </c>
    </row>
    <row r="21" spans="1:14">
      <c r="A21" s="1">
        <v>87.5</v>
      </c>
      <c r="B21" s="1">
        <v>153.9</v>
      </c>
      <c r="C21" s="2">
        <v>0.1</v>
      </c>
      <c r="D21" s="2">
        <v>0.1</v>
      </c>
      <c r="E21" s="5">
        <f t="shared" si="4"/>
        <v>8.7500000000000008E-2</v>
      </c>
      <c r="F21" s="1">
        <v>153.9</v>
      </c>
      <c r="G21" s="5">
        <f t="shared" si="5"/>
        <v>1E-4</v>
      </c>
      <c r="H21" s="2">
        <v>0.1</v>
      </c>
      <c r="I21" s="6">
        <f t="shared" si="6"/>
        <v>7.6562500000000016E-3</v>
      </c>
      <c r="J21" s="2">
        <f t="shared" si="7"/>
        <v>153.9</v>
      </c>
      <c r="K21" s="6">
        <f t="shared" si="8"/>
        <v>2.0000000000000001E-4</v>
      </c>
      <c r="L21" s="2">
        <v>0.1</v>
      </c>
    </row>
    <row r="31" spans="1:14">
      <c r="A31" t="s">
        <v>24</v>
      </c>
    </row>
    <row r="32" spans="1:14">
      <c r="A32" t="s">
        <v>25</v>
      </c>
    </row>
    <row r="33" spans="1:9">
      <c r="A33" s="39" t="s">
        <v>26</v>
      </c>
      <c r="B33" s="40" t="s">
        <v>27</v>
      </c>
      <c r="C33" s="41" t="s">
        <v>28</v>
      </c>
      <c r="E33" t="s">
        <v>29</v>
      </c>
    </row>
    <row r="34" spans="1:9">
      <c r="A34" s="48">
        <v>20</v>
      </c>
      <c r="B34" s="44">
        <v>67.14</v>
      </c>
      <c r="C34" s="45">
        <v>65.17</v>
      </c>
      <c r="E34" s="49" t="s">
        <v>30</v>
      </c>
      <c r="F34" s="42" t="s">
        <v>31</v>
      </c>
      <c r="G34" s="43" t="s">
        <v>32</v>
      </c>
      <c r="H34" s="41" t="s">
        <v>33</v>
      </c>
      <c r="I34" s="43" t="s">
        <v>34</v>
      </c>
    </row>
    <row r="35" spans="1:9">
      <c r="A35" s="48">
        <v>25</v>
      </c>
      <c r="B35" s="44">
        <v>67.88</v>
      </c>
      <c r="C35" s="45">
        <v>65.5</v>
      </c>
      <c r="E35" s="17" t="s">
        <v>35</v>
      </c>
      <c r="F35" s="18">
        <v>172.8989</v>
      </c>
      <c r="G35" s="18">
        <v>1.6334</v>
      </c>
      <c r="H35" s="18">
        <v>174.16159999999999</v>
      </c>
      <c r="I35" s="18">
        <v>1.1711</v>
      </c>
    </row>
    <row r="36" spans="1:9">
      <c r="A36" s="48">
        <v>30</v>
      </c>
      <c r="B36" s="44">
        <v>68.88</v>
      </c>
      <c r="C36" s="45">
        <v>66.22</v>
      </c>
      <c r="E36" s="17" t="s">
        <v>36</v>
      </c>
      <c r="F36" s="18">
        <v>18.654399999999999</v>
      </c>
      <c r="G36" s="18">
        <v>2.2376999999999998</v>
      </c>
      <c r="H36" s="18">
        <v>13.664199999999999</v>
      </c>
      <c r="I36" s="18">
        <v>1.5988</v>
      </c>
    </row>
    <row r="37" spans="1:9">
      <c r="A37" s="48">
        <v>35</v>
      </c>
      <c r="B37" s="44">
        <v>70.03</v>
      </c>
      <c r="C37" s="45">
        <v>67.38</v>
      </c>
      <c r="E37" s="17" t="s">
        <v>37</v>
      </c>
      <c r="F37" s="18">
        <v>11203.752500000001</v>
      </c>
      <c r="G37" s="18">
        <v>420.78919999999999</v>
      </c>
      <c r="H37" s="18">
        <v>12112.7546</v>
      </c>
      <c r="I37" s="18">
        <v>309.38990000000001</v>
      </c>
    </row>
    <row r="38" spans="1:9">
      <c r="A38" s="48">
        <v>40</v>
      </c>
      <c r="B38" s="44">
        <v>71.400000000000006</v>
      </c>
      <c r="C38" s="45">
        <v>68.75</v>
      </c>
    </row>
    <row r="39" spans="1:9">
      <c r="A39" s="48">
        <v>45</v>
      </c>
      <c r="B39" s="44">
        <v>72.69</v>
      </c>
      <c r="C39" s="45">
        <v>70.459999999999994</v>
      </c>
      <c r="E39" t="s">
        <v>38</v>
      </c>
      <c r="F39" t="s">
        <v>39</v>
      </c>
    </row>
    <row r="40" spans="1:9">
      <c r="A40" s="48">
        <v>50</v>
      </c>
      <c r="B40" s="44">
        <v>74.67</v>
      </c>
      <c r="C40" s="45">
        <v>72.38</v>
      </c>
      <c r="E40" s="19"/>
    </row>
    <row r="41" spans="1:9">
      <c r="A41" s="48">
        <v>55</v>
      </c>
      <c r="B41" s="44">
        <v>76.5</v>
      </c>
      <c r="C41" s="45">
        <v>75</v>
      </c>
      <c r="E41" s="46" t="s">
        <v>40</v>
      </c>
      <c r="F41" s="46">
        <f>SQRT(F37+(F36/2)^2)</f>
        <v>106.25793692633036</v>
      </c>
      <c r="H41" s="46" t="s">
        <v>41</v>
      </c>
      <c r="I41" s="46">
        <f>AVERAGE(F41:F42)</f>
        <v>108.26387616783536</v>
      </c>
    </row>
    <row r="42" spans="1:9">
      <c r="A42" s="48">
        <v>60</v>
      </c>
      <c r="B42" s="44">
        <v>79.040000000000006</v>
      </c>
      <c r="C42" s="45">
        <v>77.67</v>
      </c>
      <c r="E42" s="47" t="s">
        <v>42</v>
      </c>
      <c r="F42" s="47">
        <f>SQRT(H37+(H36/2)^2)</f>
        <v>110.26981540934037</v>
      </c>
      <c r="H42" s="47" t="s">
        <v>43</v>
      </c>
      <c r="I42" s="47">
        <f>(F42-F41)/2</f>
        <v>2.0059392415050041</v>
      </c>
    </row>
    <row r="43" spans="1:9">
      <c r="A43" s="48">
        <v>65</v>
      </c>
      <c r="B43" s="44">
        <v>82.04</v>
      </c>
      <c r="C43" s="45">
        <v>80.53</v>
      </c>
    </row>
    <row r="44" spans="1:9">
      <c r="A44" s="48">
        <v>70</v>
      </c>
      <c r="B44" s="44">
        <v>85.37</v>
      </c>
      <c r="C44" s="45">
        <v>83.8</v>
      </c>
      <c r="E44" t="s">
        <v>44</v>
      </c>
      <c r="G44" s="20" t="s">
        <v>45</v>
      </c>
    </row>
    <row r="45" spans="1:9">
      <c r="A45" s="48">
        <v>75</v>
      </c>
      <c r="B45" s="44">
        <v>89.33</v>
      </c>
      <c r="C45" s="45">
        <v>87.41</v>
      </c>
    </row>
    <row r="46" spans="1:9">
      <c r="A46" s="48">
        <v>80</v>
      </c>
      <c r="B46" s="44">
        <v>93.96</v>
      </c>
      <c r="C46" s="45">
        <v>91.86</v>
      </c>
      <c r="G46" t="s">
        <v>46</v>
      </c>
    </row>
    <row r="47" spans="1:9">
      <c r="A47" s="48">
        <v>85</v>
      </c>
      <c r="B47" s="44">
        <v>99.03</v>
      </c>
      <c r="C47" s="45">
        <v>96.83</v>
      </c>
      <c r="G47" t="s">
        <v>47</v>
      </c>
    </row>
    <row r="48" spans="1:9">
      <c r="A48" s="48">
        <v>90</v>
      </c>
      <c r="B48" s="44">
        <v>104.03</v>
      </c>
      <c r="C48" s="45">
        <v>101.73</v>
      </c>
      <c r="E48" t="s">
        <v>48</v>
      </c>
    </row>
    <row r="49" spans="1:3">
      <c r="A49" s="48">
        <v>95</v>
      </c>
      <c r="B49" s="44">
        <v>110.18</v>
      </c>
      <c r="C49" s="45">
        <v>107.88</v>
      </c>
    </row>
    <row r="50" spans="1:3">
      <c r="A50" s="48">
        <v>100</v>
      </c>
      <c r="B50" s="44">
        <v>117</v>
      </c>
      <c r="C50" s="45">
        <v>115</v>
      </c>
    </row>
  </sheetData>
  <mergeCells count="8">
    <mergeCell ref="N12:S12"/>
    <mergeCell ref="N1:S1"/>
    <mergeCell ref="I1:L1"/>
    <mergeCell ref="I12:L12"/>
    <mergeCell ref="A1:D1"/>
    <mergeCell ref="E1:H1"/>
    <mergeCell ref="A12:D12"/>
    <mergeCell ref="E12:H12"/>
  </mergeCells>
  <phoneticPr fontId="1" type="noConversion"/>
  <hyperlinks>
    <hyperlink ref="G44" r:id="rId1" xr:uid="{710A7E9D-9BC4-4764-9C2A-48C15073728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50218-72AB-47A9-80E6-BD5966BA40BB}">
  <dimension ref="A1:AN40"/>
  <sheetViews>
    <sheetView topLeftCell="Z1" workbookViewId="0">
      <selection activeCell="AF30" sqref="AF30"/>
    </sheetView>
  </sheetViews>
  <sheetFormatPr defaultColWidth="11.19921875" defaultRowHeight="15.6"/>
  <cols>
    <col min="1" max="1" width="13.69921875" customWidth="1"/>
    <col min="3" max="3" width="11.296875" customWidth="1"/>
    <col min="4" max="4" width="13.796875" customWidth="1"/>
    <col min="5" max="5" width="12.69921875" customWidth="1"/>
    <col min="6" max="6" width="13.796875" customWidth="1"/>
    <col min="9" max="9" width="13.296875" bestFit="1" customWidth="1"/>
    <col min="10" max="10" width="13.69921875" bestFit="1" customWidth="1"/>
    <col min="11" max="11" width="16.296875" bestFit="1" customWidth="1"/>
    <col min="12" max="12" width="13.796875" bestFit="1" customWidth="1"/>
    <col min="13" max="13" width="13.5" bestFit="1" customWidth="1"/>
    <col min="14" max="14" width="13.796875" bestFit="1" customWidth="1"/>
    <col min="15" max="15" width="18.296875" bestFit="1" customWidth="1"/>
    <col min="16" max="16" width="13.796875" bestFit="1" customWidth="1"/>
    <col min="17" max="17" width="18.296875" bestFit="1" customWidth="1"/>
    <col min="19" max="19" width="12.796875" bestFit="1" customWidth="1"/>
    <col min="20" max="20" width="18.296875" bestFit="1" customWidth="1"/>
    <col min="21" max="21" width="8.296875" bestFit="1" customWidth="1"/>
    <col min="22" max="22" width="13.69921875" bestFit="1" customWidth="1"/>
    <col min="24" max="24" width="16.296875" bestFit="1" customWidth="1"/>
    <col min="25" max="25" width="12.796875" bestFit="1" customWidth="1"/>
    <col min="26" max="26" width="13.296875" bestFit="1" customWidth="1"/>
    <col min="27" max="27" width="13.69921875" bestFit="1" customWidth="1"/>
    <col min="28" max="28" width="16.296875" bestFit="1" customWidth="1"/>
    <col min="29" max="29" width="16.296875" customWidth="1"/>
    <col min="30" max="30" width="13.5" bestFit="1" customWidth="1"/>
    <col min="31" max="31" width="12" bestFit="1" customWidth="1"/>
    <col min="32" max="32" width="16.296875" bestFit="1" customWidth="1"/>
    <col min="33" max="33" width="18.296875" bestFit="1" customWidth="1"/>
    <col min="34" max="34" width="13.5" bestFit="1" customWidth="1"/>
    <col min="35" max="35" width="14.296875" bestFit="1" customWidth="1"/>
    <col min="36" max="36" width="17.296875" bestFit="1" customWidth="1"/>
    <col min="38" max="38" width="18.296875" bestFit="1" customWidth="1"/>
    <col min="39" max="39" width="12.796875" bestFit="1" customWidth="1"/>
    <col min="40" max="40" width="18.296875" bestFit="1" customWidth="1"/>
  </cols>
  <sheetData>
    <row r="1" spans="1:40">
      <c r="A1" s="87" t="s">
        <v>73</v>
      </c>
      <c r="B1" s="87"/>
      <c r="C1" s="87"/>
      <c r="D1" s="87"/>
      <c r="E1" s="87"/>
      <c r="F1" s="87"/>
      <c r="G1" s="87"/>
      <c r="I1" s="89" t="s">
        <v>0</v>
      </c>
      <c r="J1" s="89"/>
      <c r="K1" s="89"/>
      <c r="L1" s="89"/>
      <c r="M1" s="89"/>
      <c r="N1" s="89"/>
      <c r="O1" s="89"/>
      <c r="P1" s="89"/>
      <c r="Q1" s="89"/>
      <c r="R1" s="89"/>
      <c r="U1" s="57" t="s">
        <v>22</v>
      </c>
      <c r="V1" s="57"/>
      <c r="W1" s="57"/>
      <c r="X1" s="57"/>
      <c r="Z1" s="89" t="s">
        <v>76</v>
      </c>
      <c r="AA1" s="89"/>
      <c r="AB1" s="89"/>
      <c r="AC1" s="89"/>
      <c r="AD1" s="89"/>
      <c r="AE1" s="89"/>
      <c r="AF1" s="89"/>
      <c r="AG1" s="89"/>
      <c r="AI1" s="88" t="s">
        <v>77</v>
      </c>
      <c r="AJ1" s="88"/>
      <c r="AK1" s="88"/>
      <c r="AL1" s="88"/>
      <c r="AM1" s="88"/>
      <c r="AN1" s="88"/>
    </row>
    <row r="2" spans="1:40">
      <c r="A2" s="22" t="s">
        <v>49</v>
      </c>
      <c r="B2" s="22" t="s">
        <v>50</v>
      </c>
      <c r="C2" s="22" t="s">
        <v>51</v>
      </c>
      <c r="D2" s="22" t="s">
        <v>52</v>
      </c>
      <c r="E2" s="22" t="s">
        <v>53</v>
      </c>
      <c r="F2" s="22" t="s">
        <v>54</v>
      </c>
      <c r="G2" s="22" t="s">
        <v>72</v>
      </c>
      <c r="I2" s="59" t="s">
        <v>74</v>
      </c>
      <c r="J2" s="59" t="s">
        <v>75</v>
      </c>
      <c r="K2" s="59" t="s">
        <v>57</v>
      </c>
      <c r="L2" s="59" t="s">
        <v>64</v>
      </c>
      <c r="U2" s="22" t="s">
        <v>74</v>
      </c>
      <c r="V2" s="22" t="s">
        <v>75</v>
      </c>
      <c r="W2" s="22" t="s">
        <v>57</v>
      </c>
      <c r="X2" s="22" t="s">
        <v>64</v>
      </c>
      <c r="Z2" s="22" t="s">
        <v>74</v>
      </c>
      <c r="AA2" s="22" t="s">
        <v>75</v>
      </c>
      <c r="AB2" s="22" t="s">
        <v>57</v>
      </c>
      <c r="AC2" s="22" t="s">
        <v>18</v>
      </c>
      <c r="AD2" s="22" t="s">
        <v>64</v>
      </c>
      <c r="AE2" s="22" t="s">
        <v>18</v>
      </c>
      <c r="AF2" s="22" t="s">
        <v>63</v>
      </c>
      <c r="AG2" s="22" t="s">
        <v>65</v>
      </c>
      <c r="AI2" s="88" t="s">
        <v>78</v>
      </c>
      <c r="AJ2" s="88"/>
      <c r="AK2" s="88">
        <v>10</v>
      </c>
      <c r="AL2" s="88"/>
      <c r="AM2" s="88">
        <v>11</v>
      </c>
      <c r="AN2" s="88"/>
    </row>
    <row r="3" spans="1:40">
      <c r="A3" s="53">
        <f>6.62607015*10^-34</f>
        <v>6.6260701500000015E-34</v>
      </c>
      <c r="B3" s="54">
        <f>9.109383 *10^-31</f>
        <v>9.109383E-31</v>
      </c>
      <c r="C3" s="53">
        <f>1.602176634*10^-19</f>
        <v>1.6021766340000001E-19</v>
      </c>
      <c r="D3" s="22">
        <f>0.213*10^-9</f>
        <v>2.1300000000000001E-10</v>
      </c>
      <c r="E3" s="22">
        <f>0.123*10^-9</f>
        <v>1.2300000000000001E-10</v>
      </c>
      <c r="F3" s="22">
        <f>125*10^-3</f>
        <v>0.125</v>
      </c>
      <c r="G3" s="22">
        <f>2*10^-3</f>
        <v>2E-3</v>
      </c>
      <c r="I3" s="55">
        <v>3.3</v>
      </c>
      <c r="J3" s="55">
        <v>0.05</v>
      </c>
      <c r="K3" s="56">
        <f t="shared" ref="K3:K8" si="0">((J26+K26)/2)*10^-3</f>
        <v>1.6277999999999997E-2</v>
      </c>
      <c r="L3" s="56">
        <f t="shared" ref="L3:L8" si="1">((M26+N26)/2)*10^-3</f>
        <v>2.75E-2</v>
      </c>
      <c r="U3" s="55">
        <v>2.9</v>
      </c>
      <c r="V3" s="55">
        <v>0.05</v>
      </c>
      <c r="W3" s="56">
        <f t="shared" ref="W3:W8" si="2">((P26+Q26)/2)*10^-3</f>
        <v>0</v>
      </c>
      <c r="X3" s="56">
        <f t="shared" ref="X3:X8" si="3">((S26+T26)/2)*10^-3</f>
        <v>0</v>
      </c>
      <c r="Z3" s="55">
        <v>3.4</v>
      </c>
      <c r="AA3" s="55">
        <v>0.05</v>
      </c>
      <c r="AB3" s="56">
        <f>((AA19+AB19)/2)*10^-3</f>
        <v>1.5423000000000001E-2</v>
      </c>
      <c r="AC3" s="22">
        <f>((AA19-AB19)/2)*10^-3</f>
        <v>7.5699999999999964E-4</v>
      </c>
      <c r="AD3" s="56">
        <f>((AC19+AD19)/2)*10^-3</f>
        <v>2.7390500000000002E-2</v>
      </c>
      <c r="AE3" s="22">
        <f>((AC19-AD19)/2)*10^-3</f>
        <v>1.054500000000001E-3</v>
      </c>
      <c r="AF3" s="22">
        <f>($D$3*AB3)/$F$3</f>
        <v>2.6280792000000004E-11</v>
      </c>
      <c r="AG3" s="22">
        <f>($E$3*AD3)/$F$3</f>
        <v>2.6952252000000006E-11</v>
      </c>
      <c r="AI3" t="s">
        <v>79</v>
      </c>
      <c r="AJ3" t="s">
        <v>80</v>
      </c>
      <c r="AK3" t="s">
        <v>63</v>
      </c>
      <c r="AL3" t="s">
        <v>81</v>
      </c>
      <c r="AM3" t="s">
        <v>82</v>
      </c>
      <c r="AN3" t="s">
        <v>83</v>
      </c>
    </row>
    <row r="4" spans="1:40">
      <c r="I4" s="55">
        <v>3.6</v>
      </c>
      <c r="J4" s="55">
        <v>0.05</v>
      </c>
      <c r="K4" s="56">
        <f t="shared" si="0"/>
        <v>1.5292750000000003E-2</v>
      </c>
      <c r="L4" s="56">
        <f t="shared" si="1"/>
        <v>2.5688500000000003E-2</v>
      </c>
      <c r="U4" s="55">
        <v>3.2</v>
      </c>
      <c r="V4" s="55">
        <v>0.05</v>
      </c>
      <c r="W4" s="56">
        <f t="shared" si="2"/>
        <v>0</v>
      </c>
      <c r="X4" s="56">
        <f t="shared" si="3"/>
        <v>0</v>
      </c>
      <c r="Z4" s="55">
        <v>3.8</v>
      </c>
      <c r="AA4" s="55">
        <v>0.05</v>
      </c>
      <c r="AB4" s="56">
        <f t="shared" ref="AB4:AB7" si="4">((AA20+AB20)/2)*10^-3</f>
        <v>1.4836500000000001E-2</v>
      </c>
      <c r="AC4" s="22">
        <f t="shared" ref="AC4:AC7" si="5">((AA20-AB20)/2)*10^-3</f>
        <v>8.7649999999999913E-4</v>
      </c>
      <c r="AD4" s="56">
        <f>((AC20+AD20)/2)*10^-3</f>
        <v>2.5055499999999998E-2</v>
      </c>
      <c r="AE4" s="22">
        <f t="shared" ref="AE4:AE7" si="6">((AC20-AD20)/2)*10^-3</f>
        <v>1.0854999999999997E-3</v>
      </c>
      <c r="AF4" s="22">
        <f>($D$3*AB4)/$F$3</f>
        <v>2.5281396000000003E-11</v>
      </c>
      <c r="AG4" s="22">
        <f t="shared" ref="AG4:AG7" si="7">($E$3*AD4)/$F$3</f>
        <v>2.4654612E-11</v>
      </c>
      <c r="AI4" s="63">
        <f>Z11*10^9</f>
        <v>2.1033032607676899E-2</v>
      </c>
      <c r="AJ4" s="27">
        <f>AB11*10^9</f>
        <v>1.5465465152703607E-4</v>
      </c>
      <c r="AK4">
        <f>AD11*10^9</f>
        <v>2.6280792000000004E-2</v>
      </c>
      <c r="AL4">
        <f>AG11*10^9</f>
        <v>1.35673443694398E-3</v>
      </c>
      <c r="AM4">
        <f>AI11*10^9</f>
        <v>2.6952252000000006E-2</v>
      </c>
      <c r="AN4">
        <f>AL11*10^9</f>
        <v>1.1236709401239793E-3</v>
      </c>
    </row>
    <row r="5" spans="1:40">
      <c r="I5" s="55">
        <v>3.9</v>
      </c>
      <c r="J5" s="55">
        <v>0.05</v>
      </c>
      <c r="K5" s="56">
        <f t="shared" si="0"/>
        <v>1.548426E-2</v>
      </c>
      <c r="L5" s="56">
        <f t="shared" si="1"/>
        <v>2.5725999999999999E-2</v>
      </c>
      <c r="U5" s="55">
        <v>3.6</v>
      </c>
      <c r="V5" s="55">
        <v>0.05</v>
      </c>
      <c r="W5" s="56">
        <f t="shared" si="2"/>
        <v>0</v>
      </c>
      <c r="X5" s="56">
        <f t="shared" si="3"/>
        <v>0</v>
      </c>
      <c r="Z5" s="55">
        <v>4.0999999999999996</v>
      </c>
      <c r="AA5" s="55">
        <v>0.05</v>
      </c>
      <c r="AB5" s="56">
        <f t="shared" si="4"/>
        <v>1.4147999999999999E-2</v>
      </c>
      <c r="AC5" s="22">
        <f t="shared" si="5"/>
        <v>9.6499999999999993E-4</v>
      </c>
      <c r="AD5" s="56">
        <f>((AC21+AD21)/2)*10^-3</f>
        <v>2.3988999999999996E-2</v>
      </c>
      <c r="AE5" s="22">
        <f t="shared" si="6"/>
        <v>1.0649999999999995E-3</v>
      </c>
      <c r="AF5" s="22">
        <f>($D$3*AB5)/$F$3</f>
        <v>2.4108192000000001E-11</v>
      </c>
      <c r="AG5" s="22">
        <f t="shared" si="7"/>
        <v>2.3605176E-11</v>
      </c>
      <c r="AI5" s="63">
        <f t="shared" ref="AI5:AI8" si="8">Z12*10^9</f>
        <v>1.9895257080236345E-2</v>
      </c>
      <c r="AJ5" s="27">
        <f t="shared" ref="AJ5:AJ8" si="9">AB12*10^9</f>
        <v>1.3088984921208103E-4</v>
      </c>
      <c r="AK5">
        <f t="shared" ref="AK5:AK8" si="10">AD12*10^9</f>
        <v>2.5281396000000005E-2</v>
      </c>
      <c r="AL5">
        <f t="shared" ref="AL5:AL8" si="11">AG12*10^9</f>
        <v>1.5473628097396723E-3</v>
      </c>
      <c r="AM5">
        <f t="shared" ref="AM5:AM8" si="12">AI12*10^9</f>
        <v>2.4654611999999999E-2</v>
      </c>
      <c r="AN5">
        <f t="shared" ref="AN5:AN8" si="13">AL12*10^9</f>
        <v>1.1386463638895347E-3</v>
      </c>
    </row>
    <row r="6" spans="1:40">
      <c r="A6" t="s">
        <v>93</v>
      </c>
      <c r="I6" s="55">
        <v>4.05</v>
      </c>
      <c r="J6" s="55">
        <v>0.05</v>
      </c>
      <c r="K6" s="56">
        <f t="shared" si="0"/>
        <v>1.7057900000000001E-2</v>
      </c>
      <c r="L6" s="56">
        <f t="shared" si="1"/>
        <v>2.8769780000000002E-2</v>
      </c>
      <c r="U6" s="55">
        <v>3.75</v>
      </c>
      <c r="V6" s="55">
        <v>0.05</v>
      </c>
      <c r="W6" s="56">
        <f t="shared" si="2"/>
        <v>0</v>
      </c>
      <c r="X6" s="56">
        <f t="shared" si="3"/>
        <v>0</v>
      </c>
      <c r="Z6" s="55">
        <v>4.3499999999999996</v>
      </c>
      <c r="AA6" s="55">
        <v>0.05</v>
      </c>
      <c r="AB6" s="56">
        <f t="shared" si="4"/>
        <v>1.42965E-2</v>
      </c>
      <c r="AC6" s="22">
        <f t="shared" si="5"/>
        <v>9.4749999999999977E-4</v>
      </c>
      <c r="AD6" s="56">
        <f>((AC22+AD22)/2)*10^-3</f>
        <v>2.4011499999999998E-2</v>
      </c>
      <c r="AE6" s="22">
        <f t="shared" si="6"/>
        <v>1.0574999999999992E-3</v>
      </c>
      <c r="AF6" s="22">
        <f>($D$3*AB6)/$F$3</f>
        <v>2.4361236000000003E-11</v>
      </c>
      <c r="AG6" s="22">
        <f t="shared" si="7"/>
        <v>2.3627316000000002E-11</v>
      </c>
      <c r="AI6" s="63">
        <f t="shared" si="8"/>
        <v>1.9153556418772019E-2</v>
      </c>
      <c r="AJ6" s="27">
        <f t="shared" si="9"/>
        <v>1.1678997816324404E-4</v>
      </c>
      <c r="AK6">
        <f t="shared" si="10"/>
        <v>2.4108192000000001E-2</v>
      </c>
      <c r="AL6">
        <f t="shared" si="11"/>
        <v>1.6889962313475628E-3</v>
      </c>
      <c r="AM6">
        <f t="shared" si="12"/>
        <v>2.3605176000000002E-2</v>
      </c>
      <c r="AN6">
        <f t="shared" si="13"/>
        <v>1.1139409639211986E-3</v>
      </c>
    </row>
    <row r="7" spans="1:40">
      <c r="A7" s="64" t="s">
        <v>88</v>
      </c>
      <c r="B7" s="64" t="s">
        <v>87</v>
      </c>
      <c r="C7" s="64" t="s">
        <v>89</v>
      </c>
      <c r="D7" s="64" t="s">
        <v>90</v>
      </c>
      <c r="E7" s="64" t="s">
        <v>91</v>
      </c>
      <c r="F7" s="64" t="s">
        <v>92</v>
      </c>
      <c r="I7" s="55">
        <v>4.3499999999999996</v>
      </c>
      <c r="J7" s="55">
        <v>0.05</v>
      </c>
      <c r="K7" s="56">
        <f t="shared" si="0"/>
        <v>0</v>
      </c>
      <c r="L7" s="56">
        <f t="shared" si="1"/>
        <v>0</v>
      </c>
      <c r="U7" s="55">
        <v>4</v>
      </c>
      <c r="V7" s="55">
        <v>0.05</v>
      </c>
      <c r="W7" s="56">
        <f t="shared" si="2"/>
        <v>0</v>
      </c>
      <c r="X7" s="56">
        <f t="shared" si="3"/>
        <v>0</v>
      </c>
      <c r="Z7" s="55">
        <v>4.5</v>
      </c>
      <c r="AA7" s="55">
        <v>0.05</v>
      </c>
      <c r="AB7" s="56">
        <f t="shared" si="4"/>
        <v>1.3846500000000001E-2</v>
      </c>
      <c r="AC7" s="22">
        <f t="shared" si="5"/>
        <v>9.565000000000001E-4</v>
      </c>
      <c r="AD7" s="56">
        <f>((AC23+AD23)/2)*10^-3</f>
        <v>2.2966500000000001E-2</v>
      </c>
      <c r="AE7" s="22">
        <f t="shared" si="6"/>
        <v>1.0524999999999985E-3</v>
      </c>
      <c r="AF7" s="22">
        <f>($D$3*AB7)/$F$3</f>
        <v>2.3594436000000004E-11</v>
      </c>
      <c r="AG7" s="22">
        <f t="shared" si="7"/>
        <v>2.2599036000000004E-11</v>
      </c>
      <c r="AI7" s="63">
        <f t="shared" si="8"/>
        <v>1.8595023226764654E-2</v>
      </c>
      <c r="AJ7" s="27">
        <f t="shared" si="9"/>
        <v>1.0686794957910708E-4</v>
      </c>
      <c r="AK7">
        <f t="shared" si="10"/>
        <v>2.4361236000000001E-2</v>
      </c>
      <c r="AL7">
        <f t="shared" si="11"/>
        <v>1.6609237446007597E-3</v>
      </c>
      <c r="AM7">
        <f t="shared" si="12"/>
        <v>2.3627316000000002E-2</v>
      </c>
      <c r="AN7">
        <f t="shared" si="13"/>
        <v>1.1071218325501245E-3</v>
      </c>
    </row>
    <row r="8" spans="1:40">
      <c r="A8" s="65">
        <v>2900</v>
      </c>
      <c r="B8" s="65" t="s">
        <v>84</v>
      </c>
      <c r="C8" s="65">
        <v>14.132897524374499</v>
      </c>
      <c r="D8" s="65">
        <v>1.6132140106919</v>
      </c>
      <c r="E8" s="65">
        <v>24.5109397376423</v>
      </c>
      <c r="F8" s="65">
        <v>1.82238327806422</v>
      </c>
      <c r="I8" s="55">
        <v>4.5</v>
      </c>
      <c r="J8" s="55">
        <v>0.05</v>
      </c>
      <c r="K8" s="56">
        <f t="shared" si="0"/>
        <v>0</v>
      </c>
      <c r="L8" s="56">
        <f t="shared" si="1"/>
        <v>0</v>
      </c>
      <c r="U8" s="55">
        <v>4.2</v>
      </c>
      <c r="V8" s="55">
        <v>0.05</v>
      </c>
      <c r="W8" s="56">
        <f t="shared" si="2"/>
        <v>0</v>
      </c>
      <c r="X8" s="56">
        <f t="shared" si="3"/>
        <v>0</v>
      </c>
      <c r="Z8" s="3"/>
      <c r="AA8" s="3"/>
      <c r="AB8" s="60"/>
      <c r="AC8" s="60"/>
      <c r="AD8" s="60"/>
      <c r="AE8" s="60"/>
      <c r="AI8" s="63">
        <f t="shared" si="8"/>
        <v>1.8282479568623063E-2</v>
      </c>
      <c r="AJ8" s="27">
        <f t="shared" si="9"/>
        <v>1.0156933093679476E-4</v>
      </c>
      <c r="AK8">
        <f t="shared" si="10"/>
        <v>2.3594436000000003E-2</v>
      </c>
      <c r="AL8">
        <f t="shared" si="11"/>
        <v>1.6730243011912509E-3</v>
      </c>
      <c r="AM8">
        <f t="shared" si="12"/>
        <v>2.2599036000000003E-2</v>
      </c>
      <c r="AN8">
        <f t="shared" si="13"/>
        <v>1.0969662899109969E-3</v>
      </c>
    </row>
    <row r="9" spans="1:40">
      <c r="A9" s="65">
        <v>3200</v>
      </c>
      <c r="B9" s="65" t="s">
        <v>84</v>
      </c>
      <c r="C9" s="65">
        <v>15.7321625477409</v>
      </c>
      <c r="D9" s="65">
        <v>1.62097280861413</v>
      </c>
      <c r="E9" s="65">
        <v>27.627634215834401</v>
      </c>
      <c r="F9" s="65">
        <v>1.67735020829843</v>
      </c>
      <c r="U9" s="58">
        <v>4.55</v>
      </c>
    </row>
    <row r="10" spans="1:40">
      <c r="A10" s="65">
        <v>3300</v>
      </c>
      <c r="B10" s="65" t="s">
        <v>84</v>
      </c>
      <c r="C10" s="65">
        <v>15.625893748029901</v>
      </c>
      <c r="D10" s="65">
        <v>1.6937381733540999</v>
      </c>
      <c r="E10" s="65">
        <v>24.358215545555002</v>
      </c>
      <c r="F10" s="65">
        <v>4.6691997856601297</v>
      </c>
      <c r="I10" s="51" t="s">
        <v>69</v>
      </c>
      <c r="J10" s="52" t="s">
        <v>67</v>
      </c>
      <c r="K10" s="52" t="s">
        <v>68</v>
      </c>
      <c r="Z10" s="51" t="s">
        <v>69</v>
      </c>
      <c r="AA10" s="52" t="s">
        <v>67</v>
      </c>
      <c r="AB10" s="52" t="s">
        <v>68</v>
      </c>
      <c r="AD10" s="1" t="s">
        <v>63</v>
      </c>
      <c r="AE10" s="52" t="s">
        <v>70</v>
      </c>
      <c r="AF10" s="52" t="s">
        <v>71</v>
      </c>
      <c r="AG10" s="1" t="s">
        <v>62</v>
      </c>
      <c r="AI10" s="1" t="s">
        <v>65</v>
      </c>
      <c r="AJ10" s="52" t="s">
        <v>70</v>
      </c>
      <c r="AK10" s="52" t="s">
        <v>71</v>
      </c>
      <c r="AL10" s="1" t="s">
        <v>66</v>
      </c>
    </row>
    <row r="11" spans="1:40">
      <c r="A11" s="65">
        <v>3400</v>
      </c>
      <c r="B11" s="65" t="s">
        <v>85</v>
      </c>
      <c r="C11" s="65">
        <v>15.421207002041299</v>
      </c>
      <c r="D11" s="65">
        <v>0.75790923401883004</v>
      </c>
      <c r="E11" s="65">
        <v>27.434546940849302</v>
      </c>
      <c r="F11" s="65">
        <v>1.0732065597335601</v>
      </c>
      <c r="I11" s="50">
        <f>($A$3)/(SQRT(2*$C$3*$B$3*I3*10^3))</f>
        <v>2.1349336561241503E-11</v>
      </c>
      <c r="J11" s="50">
        <f t="shared" ref="J11:J16" si="14">($A$3)/SQRT(8*$B$3*$C$3)*I3^-1.5</f>
        <v>1.0229171222277278E-10</v>
      </c>
      <c r="K11" s="50">
        <f t="shared" ref="K11:K16" si="15">J11*J3</f>
        <v>5.1145856111386394E-12</v>
      </c>
      <c r="Z11" s="50">
        <f>($A$3)/(SQRT(2*$C$3*$B$3*Z3*10^3))</f>
        <v>2.1033032607676898E-11</v>
      </c>
      <c r="AA11" s="50">
        <f>($A$3)/(SQRT(8*$B$3*$C$3)*((Z3*10^3)^(3/2)))</f>
        <v>3.0930930305407217E-15</v>
      </c>
      <c r="AB11" s="50">
        <f>AA11*(AA3*10^3)</f>
        <v>1.5465465152703608E-13</v>
      </c>
      <c r="AC11" s="27"/>
      <c r="AD11" s="1">
        <f>AF3</f>
        <v>2.6280792000000004E-11</v>
      </c>
      <c r="AE11" s="50">
        <f>$D$3/$F$3</f>
        <v>1.7040000000000001E-9</v>
      </c>
      <c r="AF11" s="50">
        <f>($D$3*AB3)/($F$3^2)</f>
        <v>2.1024633600000003E-10</v>
      </c>
      <c r="AG11" s="1">
        <f>SQRT((AE11*AC3)^2+(AF11*$G$3)^2)</f>
        <v>1.3567344369439799E-12</v>
      </c>
      <c r="AI11" s="1">
        <f>AG3</f>
        <v>2.6952252000000006E-11</v>
      </c>
      <c r="AJ11" s="50">
        <f>$E$3/$F$3</f>
        <v>9.8400000000000012E-10</v>
      </c>
      <c r="AK11" s="50">
        <f>($E$3*AD3)/($F$3^2)</f>
        <v>2.1561801600000004E-10</v>
      </c>
      <c r="AL11" s="1">
        <f>SQRT((AJ11*AE3)^2+(AK11*$G$3)^2)</f>
        <v>1.1236709401239794E-12</v>
      </c>
    </row>
    <row r="12" spans="1:40">
      <c r="A12" s="65">
        <v>3600</v>
      </c>
      <c r="B12" s="65" t="s">
        <v>86</v>
      </c>
      <c r="C12" s="65">
        <v>14.276839465305001</v>
      </c>
      <c r="D12" s="65">
        <v>1.5944380727905101</v>
      </c>
      <c r="E12" s="65">
        <v>24.570261486439801</v>
      </c>
      <c r="F12" s="65">
        <v>1.7789713970628001</v>
      </c>
      <c r="I12" s="50">
        <f t="shared" ref="I12:I16" si="16">($A$3)/(SQRT(2*$C$3*$B$3*I4*10^3))</f>
        <v>2.0440433556346103E-11</v>
      </c>
      <c r="J12" s="50">
        <f t="shared" si="14"/>
        <v>8.9775453332485239E-11</v>
      </c>
      <c r="K12" s="50">
        <f t="shared" si="15"/>
        <v>4.4887726666242619E-12</v>
      </c>
      <c r="Z12" s="50">
        <f>($A$3)/(SQRT(2*$C$3*$B$3*Z4*10^3))</f>
        <v>1.9895257080236344E-11</v>
      </c>
      <c r="AA12" s="50">
        <f t="shared" ref="AA12:AA15" si="17">($A$3)/(SQRT(8*$B$3*$C$3)*((Z4*10^3)^(3/2)))</f>
        <v>2.6177969842416209E-15</v>
      </c>
      <c r="AB12" s="50">
        <f t="shared" ref="AB12:AB15" si="18">AA12*(AA4*10^3)</f>
        <v>1.3088984921208103E-13</v>
      </c>
      <c r="AC12" s="27"/>
      <c r="AD12" s="1">
        <f t="shared" ref="AD12:AD15" si="19">AF4</f>
        <v>2.5281396000000003E-11</v>
      </c>
      <c r="AE12" s="50">
        <f>$D$3/$F$3</f>
        <v>1.7040000000000001E-9</v>
      </c>
      <c r="AF12" s="50">
        <f t="shared" ref="AF12:AF15" si="20">($D$3*AB4)/($F$3^2)</f>
        <v>2.0225116800000003E-10</v>
      </c>
      <c r="AG12" s="1">
        <f t="shared" ref="AG12:AG15" si="21">SQRT((AE12*AC4)^2+(AF12*$G$3)^2)</f>
        <v>1.5473628097396722E-12</v>
      </c>
      <c r="AI12" s="1">
        <f t="shared" ref="AI12:AI15" si="22">AG4</f>
        <v>2.4654612E-11</v>
      </c>
      <c r="AJ12" s="50">
        <f t="shared" ref="AJ12:AJ15" si="23">$E$3/$F$3</f>
        <v>9.8400000000000012E-10</v>
      </c>
      <c r="AK12" s="50">
        <f t="shared" ref="AK12:AK15" si="24">($E$3*AD4)/($F$3^2)</f>
        <v>1.97236896E-10</v>
      </c>
      <c r="AL12" s="1">
        <f t="shared" ref="AL12:AL15" si="25">SQRT((AJ12*AE4)^2+(AK12*$G$3)^2)</f>
        <v>1.1386463638895347E-12</v>
      </c>
    </row>
    <row r="13" spans="1:40">
      <c r="A13" s="65">
        <v>3600</v>
      </c>
      <c r="B13" s="65" t="s">
        <v>84</v>
      </c>
      <c r="C13" s="65">
        <v>14.608209450585599</v>
      </c>
      <c r="D13" s="65">
        <v>1.65422061844574</v>
      </c>
      <c r="E13" s="65">
        <v>25.280442414886799</v>
      </c>
      <c r="F13" s="65">
        <v>1.7722852073505899</v>
      </c>
      <c r="I13" s="50">
        <f t="shared" si="16"/>
        <v>1.9638533330119516E-11</v>
      </c>
      <c r="J13" s="50">
        <f t="shared" si="14"/>
        <v>7.9618583626037269E-11</v>
      </c>
      <c r="K13" s="50">
        <f t="shared" si="15"/>
        <v>3.9809291813018638E-12</v>
      </c>
      <c r="Z13" s="50">
        <f>($A$3)/(SQRT(2*$C$3*$B$3*Z5*10^3))</f>
        <v>1.9153556418772018E-11</v>
      </c>
      <c r="AA13" s="50">
        <f t="shared" si="17"/>
        <v>2.335799563264881E-15</v>
      </c>
      <c r="AB13" s="50">
        <f t="shared" si="18"/>
        <v>1.1678997816324404E-13</v>
      </c>
      <c r="AC13" s="27"/>
      <c r="AD13" s="1">
        <f t="shared" si="19"/>
        <v>2.4108192000000001E-11</v>
      </c>
      <c r="AE13" s="50">
        <f>$D$3/$F$3</f>
        <v>1.7040000000000001E-9</v>
      </c>
      <c r="AF13" s="50">
        <f t="shared" si="20"/>
        <v>1.9286553600000001E-10</v>
      </c>
      <c r="AG13" s="1">
        <f t="shared" si="21"/>
        <v>1.6889962313475627E-12</v>
      </c>
      <c r="AI13" s="1">
        <f t="shared" si="22"/>
        <v>2.3605176E-11</v>
      </c>
      <c r="AJ13" s="50">
        <f t="shared" si="23"/>
        <v>9.8400000000000012E-10</v>
      </c>
      <c r="AK13" s="50">
        <f t="shared" si="24"/>
        <v>1.88841408E-10</v>
      </c>
      <c r="AL13" s="1">
        <f t="shared" si="25"/>
        <v>1.1139409639211986E-12</v>
      </c>
    </row>
    <row r="14" spans="1:40">
      <c r="A14" s="65">
        <v>3750</v>
      </c>
      <c r="B14" s="65" t="s">
        <v>84</v>
      </c>
      <c r="C14" s="65">
        <v>14.752239984701299</v>
      </c>
      <c r="D14" s="65">
        <v>1.5544896639771899</v>
      </c>
      <c r="E14" s="65">
        <v>25.5865516555229</v>
      </c>
      <c r="F14" s="65">
        <v>1.6557699404670601</v>
      </c>
      <c r="I14" s="50">
        <f t="shared" si="16"/>
        <v>1.9271425570780514E-11</v>
      </c>
      <c r="J14" s="50">
        <f t="shared" si="14"/>
        <v>7.5236541434662813E-11</v>
      </c>
      <c r="K14" s="50">
        <f t="shared" si="15"/>
        <v>3.7618270717331405E-12</v>
      </c>
      <c r="Z14" s="50">
        <f>($A$3)/(SQRT(2*$C$3*$B$3*Z6*10^3))</f>
        <v>1.8595023226764655E-11</v>
      </c>
      <c r="AA14" s="50">
        <f t="shared" si="17"/>
        <v>2.1373589915821417E-15</v>
      </c>
      <c r="AB14" s="50">
        <f t="shared" si="18"/>
        <v>1.0686794957910708E-13</v>
      </c>
      <c r="AC14" s="27"/>
      <c r="AD14" s="1">
        <f t="shared" si="19"/>
        <v>2.4361236000000003E-11</v>
      </c>
      <c r="AE14" s="50">
        <f>$D$3/$F$3</f>
        <v>1.7040000000000001E-9</v>
      </c>
      <c r="AF14" s="50">
        <f t="shared" si="20"/>
        <v>1.9488988800000002E-10</v>
      </c>
      <c r="AG14" s="1">
        <f t="shared" si="21"/>
        <v>1.6609237446007596E-12</v>
      </c>
      <c r="AI14" s="1">
        <f t="shared" si="22"/>
        <v>2.3627316000000002E-11</v>
      </c>
      <c r="AJ14" s="50">
        <f t="shared" si="23"/>
        <v>9.8400000000000012E-10</v>
      </c>
      <c r="AK14" s="50">
        <f t="shared" si="24"/>
        <v>1.8901852800000001E-10</v>
      </c>
      <c r="AL14" s="1">
        <f t="shared" si="25"/>
        <v>1.1071218325501244E-12</v>
      </c>
    </row>
    <row r="15" spans="1:40">
      <c r="A15" s="65">
        <v>3800</v>
      </c>
      <c r="B15" s="65" t="s">
        <v>85</v>
      </c>
      <c r="C15" s="65">
        <v>14.837621682306599</v>
      </c>
      <c r="D15" s="65">
        <v>0.87554886606265003</v>
      </c>
      <c r="E15" s="65">
        <v>25.0516734432418</v>
      </c>
      <c r="F15" s="65">
        <v>1.08795415484975</v>
      </c>
      <c r="I15" s="50">
        <f t="shared" si="16"/>
        <v>1.8595023226764655E-11</v>
      </c>
      <c r="J15" s="50">
        <f t="shared" si="14"/>
        <v>6.7589225908402299E-11</v>
      </c>
      <c r="K15" s="50">
        <f t="shared" si="15"/>
        <v>3.3794612954201152E-12</v>
      </c>
      <c r="Z15" s="50">
        <f>($A$3)/(SQRT(2*$C$3*$B$3*Z7*10^3))</f>
        <v>1.8282479568623062E-11</v>
      </c>
      <c r="AA15" s="50">
        <f t="shared" si="17"/>
        <v>2.0313866187358952E-15</v>
      </c>
      <c r="AB15" s="50">
        <f t="shared" si="18"/>
        <v>1.0156933093679476E-13</v>
      </c>
      <c r="AC15" s="27"/>
      <c r="AD15" s="1">
        <f t="shared" si="19"/>
        <v>2.3594436000000004E-11</v>
      </c>
      <c r="AE15" s="50">
        <f>$D$3/$F$3</f>
        <v>1.7040000000000001E-9</v>
      </c>
      <c r="AF15" s="50">
        <f t="shared" si="20"/>
        <v>1.8875548800000003E-10</v>
      </c>
      <c r="AG15" s="1">
        <f t="shared" si="21"/>
        <v>1.6730243011912509E-12</v>
      </c>
      <c r="AI15" s="1">
        <f t="shared" si="22"/>
        <v>2.2599036000000004E-11</v>
      </c>
      <c r="AJ15" s="50">
        <f t="shared" si="23"/>
        <v>9.8400000000000012E-10</v>
      </c>
      <c r="AK15" s="50">
        <f t="shared" si="24"/>
        <v>1.8079228800000003E-10</v>
      </c>
      <c r="AL15" s="1">
        <f t="shared" si="25"/>
        <v>1.0969662899109968E-12</v>
      </c>
    </row>
    <row r="16" spans="1:40">
      <c r="A16" s="65">
        <v>3900</v>
      </c>
      <c r="B16" s="65" t="s">
        <v>86</v>
      </c>
      <c r="C16" s="65">
        <v>13.8932319612138</v>
      </c>
      <c r="D16" s="65">
        <v>1.5845935583510899</v>
      </c>
      <c r="E16" s="65">
        <v>23.5846443194594</v>
      </c>
      <c r="F16" s="65">
        <v>1.7056280294042601</v>
      </c>
      <c r="I16" s="50">
        <f t="shared" si="16"/>
        <v>1.8282479568623062E-11</v>
      </c>
      <c r="J16" s="50">
        <f t="shared" si="14"/>
        <v>6.4238085235935048E-11</v>
      </c>
      <c r="K16" s="50">
        <f t="shared" si="15"/>
        <v>3.2119042617967524E-12</v>
      </c>
      <c r="V16" s="27"/>
      <c r="W16" s="27"/>
      <c r="X16" s="27"/>
      <c r="AD16" s="1"/>
      <c r="AE16" s="50"/>
      <c r="AF16" s="50"/>
      <c r="AG16" s="1"/>
    </row>
    <row r="17" spans="1:36">
      <c r="A17" s="65">
        <v>4000</v>
      </c>
      <c r="B17" s="65" t="s">
        <v>84</v>
      </c>
      <c r="C17" s="65">
        <v>14.159840771141599</v>
      </c>
      <c r="D17" s="65">
        <v>1.41688638932538</v>
      </c>
      <c r="E17" s="65">
        <v>24.307674223869199</v>
      </c>
      <c r="F17" s="65">
        <v>1.67317466996315</v>
      </c>
      <c r="I17" s="1" t="s">
        <v>63</v>
      </c>
      <c r="J17" s="52" t="s">
        <v>70</v>
      </c>
      <c r="K17" s="52" t="s">
        <v>71</v>
      </c>
      <c r="L17" s="1" t="s">
        <v>62</v>
      </c>
      <c r="N17" s="1" t="s">
        <v>65</v>
      </c>
      <c r="O17" s="1" t="s">
        <v>66</v>
      </c>
      <c r="Z17" s="84" t="s">
        <v>55</v>
      </c>
      <c r="AA17" s="85"/>
      <c r="AB17" s="85"/>
      <c r="AC17" s="85"/>
      <c r="AD17" s="85"/>
      <c r="AE17" s="85"/>
      <c r="AF17" s="85"/>
      <c r="AG17" s="85"/>
      <c r="AH17" s="86"/>
      <c r="AI17" s="61"/>
      <c r="AJ17" s="62"/>
    </row>
    <row r="18" spans="1:36">
      <c r="A18" s="65">
        <v>4050</v>
      </c>
      <c r="B18" s="65" t="s">
        <v>86</v>
      </c>
      <c r="C18" s="65">
        <v>14.202986215545801</v>
      </c>
      <c r="D18" s="65">
        <v>1.5927004496706401</v>
      </c>
      <c r="E18" s="65">
        <v>24.109663560267101</v>
      </c>
      <c r="F18" s="65">
        <v>1.7477286396192699</v>
      </c>
      <c r="I18" s="1">
        <f>($D$3*K3)/$F$3</f>
        <v>2.7737711999999997E-11</v>
      </c>
      <c r="J18" s="50">
        <f t="shared" ref="J18:J23" si="26">$D$3/$F$3</f>
        <v>1.7040000000000001E-9</v>
      </c>
      <c r="K18" s="50">
        <f t="shared" ref="K18:K23" si="27">($D$3*K3)/($F$3^2)</f>
        <v>2.2190169599999997E-10</v>
      </c>
      <c r="L18" s="1">
        <f>SQRT((J18*L26*10^-3)^2+(K18*G3)^2)</f>
        <v>4.3474637792918641E-12</v>
      </c>
      <c r="N18" s="1">
        <f t="shared" ref="N18:N23" si="28">($E$3*L3)/$F$3</f>
        <v>2.7060000000000005E-11</v>
      </c>
      <c r="O18" s="1"/>
      <c r="Z18" s="22" t="s">
        <v>61</v>
      </c>
      <c r="AA18" s="22" t="s">
        <v>56</v>
      </c>
      <c r="AB18" s="22" t="s">
        <v>58</v>
      </c>
      <c r="AC18" s="22" t="s">
        <v>59</v>
      </c>
      <c r="AD18" s="22" t="s">
        <v>58</v>
      </c>
    </row>
    <row r="19" spans="1:36">
      <c r="A19" s="65">
        <v>4100</v>
      </c>
      <c r="B19" s="65" t="s">
        <v>85</v>
      </c>
      <c r="C19" s="65">
        <v>14.1477581631242</v>
      </c>
      <c r="D19" s="65">
        <v>0.96726917441917404</v>
      </c>
      <c r="E19" s="65">
        <v>23.991469043145798</v>
      </c>
      <c r="F19" s="65">
        <v>1.0661672525943</v>
      </c>
      <c r="I19" s="1">
        <f t="shared" ref="I19:I23" si="29">($D$3*K4)/$F$3</f>
        <v>2.6058846000000008E-11</v>
      </c>
      <c r="J19" s="50">
        <f t="shared" si="26"/>
        <v>1.7040000000000001E-9</v>
      </c>
      <c r="K19" s="50">
        <f t="shared" si="27"/>
        <v>2.0847076800000006E-10</v>
      </c>
      <c r="L19" s="1"/>
      <c r="N19" s="1">
        <f t="shared" si="28"/>
        <v>2.5277484000000007E-11</v>
      </c>
      <c r="O19" s="1"/>
      <c r="Z19" s="55">
        <v>3.4</v>
      </c>
      <c r="AA19" s="22">
        <v>16.18</v>
      </c>
      <c r="AB19" s="22">
        <v>14.666</v>
      </c>
      <c r="AC19" s="22">
        <v>28.445</v>
      </c>
      <c r="AD19" s="22">
        <v>26.335999999999999</v>
      </c>
    </row>
    <row r="20" spans="1:36">
      <c r="A20" s="65">
        <v>4200</v>
      </c>
      <c r="B20" s="65" t="s">
        <v>84</v>
      </c>
      <c r="C20" s="65">
        <v>13.998592400678501</v>
      </c>
      <c r="D20" s="65">
        <v>1.4551827892046001</v>
      </c>
      <c r="E20" s="65">
        <v>23.585214490292302</v>
      </c>
      <c r="F20" s="65">
        <v>1.5773710744623799</v>
      </c>
      <c r="I20" s="1">
        <f t="shared" si="29"/>
        <v>2.638517904E-11</v>
      </c>
      <c r="J20" s="50">
        <f t="shared" si="26"/>
        <v>1.7040000000000001E-9</v>
      </c>
      <c r="K20" s="50">
        <f t="shared" si="27"/>
        <v>2.1108143232E-10</v>
      </c>
      <c r="L20" s="1"/>
      <c r="N20" s="1">
        <f t="shared" si="28"/>
        <v>2.5314384000000002E-11</v>
      </c>
      <c r="O20" s="1"/>
      <c r="Z20" s="55">
        <v>3.8</v>
      </c>
      <c r="AA20" s="22">
        <v>15.712999999999999</v>
      </c>
      <c r="AB20" s="22">
        <v>13.96</v>
      </c>
      <c r="AC20" s="22">
        <v>26.140999999999998</v>
      </c>
      <c r="AD20" s="22">
        <v>23.97</v>
      </c>
    </row>
    <row r="21" spans="1:36">
      <c r="A21" s="65">
        <v>4350</v>
      </c>
      <c r="B21" s="65" t="s">
        <v>86</v>
      </c>
      <c r="C21" s="65">
        <v>12.7285216590373</v>
      </c>
      <c r="D21" s="65">
        <v>1.5238300246508001</v>
      </c>
      <c r="E21" s="65">
        <v>21.3442985608926</v>
      </c>
      <c r="F21" s="65">
        <v>1.6759499431585601</v>
      </c>
      <c r="I21" s="1">
        <f t="shared" si="29"/>
        <v>2.9066661600000005E-11</v>
      </c>
      <c r="J21" s="50">
        <f t="shared" si="26"/>
        <v>1.7040000000000001E-9</v>
      </c>
      <c r="K21" s="50">
        <f t="shared" si="27"/>
        <v>2.3253329280000004E-10</v>
      </c>
      <c r="L21" s="1"/>
      <c r="N21" s="1">
        <f t="shared" si="28"/>
        <v>2.8309463520000007E-11</v>
      </c>
      <c r="O21" s="1"/>
      <c r="Z21" s="55">
        <v>4.0999999999999996</v>
      </c>
      <c r="AA21" s="22">
        <v>15.113</v>
      </c>
      <c r="AB21" s="22">
        <v>13.183</v>
      </c>
      <c r="AC21" s="22">
        <v>25.053999999999998</v>
      </c>
      <c r="AD21" s="22">
        <v>22.923999999999999</v>
      </c>
    </row>
    <row r="22" spans="1:36">
      <c r="A22" s="65">
        <v>4350</v>
      </c>
      <c r="B22" s="65" t="s">
        <v>85</v>
      </c>
      <c r="C22" s="65">
        <v>14.295788703025901</v>
      </c>
      <c r="D22" s="65">
        <v>0.95743396407127301</v>
      </c>
      <c r="E22" s="65">
        <v>24.0058440474461</v>
      </c>
      <c r="F22" s="65">
        <v>1.0609821789779801</v>
      </c>
      <c r="I22" s="1">
        <f t="shared" si="29"/>
        <v>0</v>
      </c>
      <c r="J22" s="50">
        <f t="shared" si="26"/>
        <v>1.7040000000000001E-9</v>
      </c>
      <c r="K22" s="50">
        <f t="shared" si="27"/>
        <v>0</v>
      </c>
      <c r="L22" s="1"/>
      <c r="N22" s="1">
        <f t="shared" si="28"/>
        <v>0</v>
      </c>
      <c r="O22" s="1"/>
      <c r="Z22" s="55">
        <v>4.3499999999999996</v>
      </c>
      <c r="AA22" s="22">
        <v>15.244</v>
      </c>
      <c r="AB22" s="22">
        <v>13.349</v>
      </c>
      <c r="AC22" s="22">
        <v>25.068999999999999</v>
      </c>
      <c r="AD22" s="22">
        <v>22.954000000000001</v>
      </c>
    </row>
    <row r="23" spans="1:36">
      <c r="A23" s="65">
        <v>4500</v>
      </c>
      <c r="B23" s="65" t="s">
        <v>86</v>
      </c>
      <c r="C23" s="65">
        <v>12.652912148520899</v>
      </c>
      <c r="D23" s="65">
        <v>1.2770471819939999</v>
      </c>
      <c r="E23" s="65">
        <v>21.557679219558601</v>
      </c>
      <c r="F23" s="65">
        <v>1.4151791181836999</v>
      </c>
      <c r="I23" s="1">
        <f t="shared" si="29"/>
        <v>0</v>
      </c>
      <c r="J23" s="50">
        <f t="shared" si="26"/>
        <v>1.7040000000000001E-9</v>
      </c>
      <c r="K23" s="50">
        <f t="shared" si="27"/>
        <v>0</v>
      </c>
      <c r="L23" s="1"/>
      <c r="N23" s="1">
        <f t="shared" si="28"/>
        <v>0</v>
      </c>
      <c r="O23" s="1"/>
      <c r="Z23" s="55">
        <v>4.5</v>
      </c>
      <c r="AA23" s="22">
        <v>14.803000000000001</v>
      </c>
      <c r="AB23" s="22">
        <v>12.89</v>
      </c>
      <c r="AC23" s="22">
        <v>24.018999999999998</v>
      </c>
      <c r="AD23" s="22">
        <v>21.914000000000001</v>
      </c>
    </row>
    <row r="24" spans="1:36">
      <c r="A24" s="65">
        <v>4500</v>
      </c>
      <c r="B24" s="65" t="s">
        <v>85</v>
      </c>
      <c r="C24" s="65">
        <v>13.8576230407855</v>
      </c>
      <c r="D24" s="65">
        <v>0.96053842000012601</v>
      </c>
      <c r="E24" s="65">
        <v>22.9614197110436</v>
      </c>
      <c r="F24" s="65">
        <v>1.05034657780143</v>
      </c>
      <c r="I24" s="84" t="s">
        <v>55</v>
      </c>
      <c r="J24" s="85"/>
      <c r="K24" s="85"/>
      <c r="L24" s="85"/>
      <c r="M24" s="85"/>
      <c r="N24" s="85"/>
      <c r="O24" s="85"/>
      <c r="P24" s="85"/>
      <c r="Q24" s="86"/>
    </row>
    <row r="25" spans="1:36">
      <c r="A25" s="65">
        <v>4550</v>
      </c>
      <c r="B25" s="65" t="s">
        <v>84</v>
      </c>
      <c r="C25" s="65">
        <v>11.9846211346032</v>
      </c>
      <c r="D25" s="65">
        <v>1.90488620765271</v>
      </c>
      <c r="E25" s="65">
        <v>20.0178224383173</v>
      </c>
      <c r="F25" s="65">
        <v>1.5035019813438499</v>
      </c>
      <c r="I25" s="22" t="s">
        <v>61</v>
      </c>
      <c r="J25" s="22" t="s">
        <v>56</v>
      </c>
      <c r="K25" s="22" t="s">
        <v>58</v>
      </c>
      <c r="L25" s="22" t="s">
        <v>60</v>
      </c>
      <c r="M25" s="22" t="s">
        <v>59</v>
      </c>
      <c r="N25" s="22" t="s">
        <v>58</v>
      </c>
      <c r="O25" s="22" t="s">
        <v>60</v>
      </c>
    </row>
    <row r="26" spans="1:36">
      <c r="A26" t="s">
        <v>94</v>
      </c>
      <c r="I26" s="22">
        <v>3.6</v>
      </c>
      <c r="J26" s="22">
        <v>18.815999999999999</v>
      </c>
      <c r="K26" s="22">
        <v>13.74</v>
      </c>
      <c r="L26" s="22">
        <f>(J26-K26)/2</f>
        <v>2.5379999999999994</v>
      </c>
      <c r="M26" s="22">
        <v>31.92</v>
      </c>
      <c r="N26" s="22">
        <v>23.08</v>
      </c>
      <c r="O26" s="22">
        <f>(M26-N26)/2</f>
        <v>4.4200000000000017</v>
      </c>
    </row>
    <row r="27" spans="1:36">
      <c r="I27" s="22">
        <v>3.9</v>
      </c>
      <c r="J27" s="22">
        <v>18.841000000000001</v>
      </c>
      <c r="K27" s="22">
        <v>11.7445</v>
      </c>
      <c r="L27" s="22">
        <f>(J27-K27)/2</f>
        <v>3.5482500000000003</v>
      </c>
      <c r="M27" s="22">
        <v>28.635000000000002</v>
      </c>
      <c r="N27" s="22">
        <v>22.742000000000001</v>
      </c>
      <c r="O27" s="22">
        <f>(M27-N27)/2</f>
        <v>2.9465000000000003</v>
      </c>
    </row>
    <row r="28" spans="1:36">
      <c r="I28" s="22">
        <v>4.05</v>
      </c>
      <c r="J28">
        <v>18.63936</v>
      </c>
      <c r="K28" s="22">
        <v>12.32916</v>
      </c>
      <c r="L28" s="22">
        <f>(J28-K28)/2</f>
        <v>3.1551</v>
      </c>
      <c r="M28">
        <v>29.123999999999999</v>
      </c>
      <c r="N28" s="22">
        <v>22.327999999999999</v>
      </c>
      <c r="O28" s="22">
        <f t="shared" ref="O28:O29" si="30">(M28-N28)/2</f>
        <v>3.3979999999999997</v>
      </c>
    </row>
    <row r="29" spans="1:36">
      <c r="I29" s="22">
        <v>3.3</v>
      </c>
      <c r="J29" s="22">
        <v>21.0808</v>
      </c>
      <c r="K29" s="22">
        <v>13.035</v>
      </c>
      <c r="L29" s="22">
        <f>(J29-K29)/2</f>
        <v>4.0228999999999999</v>
      </c>
      <c r="M29" s="22">
        <v>32.436</v>
      </c>
      <c r="N29" s="22">
        <v>25.103560000000002</v>
      </c>
      <c r="O29" s="22">
        <f t="shared" si="30"/>
        <v>3.6662199999999991</v>
      </c>
    </row>
    <row r="30" spans="1:36">
      <c r="I30" s="22"/>
      <c r="J30" s="22"/>
      <c r="K30" s="22"/>
      <c r="L30" s="22"/>
      <c r="M30" s="22"/>
      <c r="N30" s="22"/>
      <c r="O30" s="22"/>
      <c r="Z30" s="27"/>
      <c r="AA30" s="27"/>
    </row>
    <row r="31" spans="1:36">
      <c r="I31" s="22"/>
      <c r="J31" s="22"/>
      <c r="K31" s="22"/>
      <c r="L31" s="22"/>
      <c r="M31" s="22"/>
      <c r="N31" s="22"/>
      <c r="O31" s="22"/>
      <c r="Z31" s="27"/>
      <c r="AA31" s="27"/>
    </row>
    <row r="32" spans="1:36">
      <c r="Z32" s="27"/>
      <c r="AA32" s="27"/>
    </row>
    <row r="33" spans="26:29">
      <c r="Z33" s="27"/>
      <c r="AA33" s="27"/>
    </row>
    <row r="34" spans="26:29">
      <c r="Z34" s="27"/>
      <c r="AA34" s="27"/>
    </row>
    <row r="35" spans="26:29">
      <c r="Z35" s="27"/>
      <c r="AC35" s="27"/>
    </row>
    <row r="36" spans="26:29">
      <c r="Z36" s="27"/>
      <c r="AA36" s="27"/>
    </row>
    <row r="37" spans="26:29">
      <c r="Z37" s="27"/>
      <c r="AA37" s="27"/>
    </row>
    <row r="38" spans="26:29">
      <c r="Z38" s="27"/>
      <c r="AA38" s="27"/>
    </row>
    <row r="39" spans="26:29">
      <c r="Z39" s="27"/>
      <c r="AA39" s="27"/>
    </row>
    <row r="40" spans="26:29">
      <c r="Z40" s="27"/>
      <c r="AA40" s="27"/>
    </row>
  </sheetData>
  <mergeCells count="9">
    <mergeCell ref="Z17:AH17"/>
    <mergeCell ref="I24:Q24"/>
    <mergeCell ref="A1:G1"/>
    <mergeCell ref="AI1:AN1"/>
    <mergeCell ref="AI2:AJ2"/>
    <mergeCell ref="AK2:AL2"/>
    <mergeCell ref="AM2:AN2"/>
    <mergeCell ref="I1:R1"/>
    <mergeCell ref="Z1:AG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9EF39-A454-004A-A23E-E3E882CD1EF9}">
  <dimension ref="A1:BT28"/>
  <sheetViews>
    <sheetView tabSelected="1" topLeftCell="BE1" workbookViewId="0">
      <selection activeCell="BK21" sqref="BK21"/>
    </sheetView>
  </sheetViews>
  <sheetFormatPr defaultColWidth="11.19921875" defaultRowHeight="15.6"/>
  <cols>
    <col min="1" max="1" width="15.5" customWidth="1"/>
    <col min="4" max="4" width="14" bestFit="1" customWidth="1"/>
    <col min="5" max="5" width="12.19921875" bestFit="1" customWidth="1"/>
    <col min="6" max="6" width="14" bestFit="1" customWidth="1"/>
    <col min="9" max="9" width="8.296875" bestFit="1" customWidth="1"/>
    <col min="10" max="10" width="13.69921875" bestFit="1" customWidth="1"/>
    <col min="11" max="11" width="10.69921875" bestFit="1" customWidth="1"/>
    <col min="12" max="12" width="8" bestFit="1" customWidth="1"/>
    <col min="16" max="16" width="13.69921875" bestFit="1" customWidth="1"/>
    <col min="17" max="17" width="8" bestFit="1" customWidth="1"/>
    <col min="22" max="22" width="13.69921875" bestFit="1" customWidth="1"/>
    <col min="23" max="23" width="8" bestFit="1" customWidth="1"/>
    <col min="24" max="24" width="8.69921875" bestFit="1" customWidth="1"/>
    <col min="32" max="32" width="14" customWidth="1"/>
    <col min="33" max="33" width="11" bestFit="1" customWidth="1"/>
    <col min="34" max="34" width="10.796875" bestFit="1" customWidth="1"/>
    <col min="35" max="35" width="11.19921875" bestFit="1" customWidth="1"/>
    <col min="37" max="37" width="12.19921875" bestFit="1" customWidth="1"/>
    <col min="40" max="40" width="12.19921875" bestFit="1" customWidth="1"/>
    <col min="64" max="64" width="12.19921875" bestFit="1" customWidth="1"/>
    <col min="68" max="68" width="11.796875" bestFit="1" customWidth="1"/>
    <col min="69" max="69" width="12.19921875" bestFit="1" customWidth="1"/>
    <col min="70" max="70" width="11.5" bestFit="1" customWidth="1"/>
  </cols>
  <sheetData>
    <row r="1" spans="1:72">
      <c r="A1" s="87" t="s">
        <v>73</v>
      </c>
      <c r="B1" s="87"/>
      <c r="C1" s="87"/>
      <c r="D1" s="87"/>
      <c r="E1" s="87"/>
      <c r="F1" s="87"/>
      <c r="G1" s="87"/>
      <c r="I1" s="95" t="s">
        <v>0</v>
      </c>
      <c r="J1" s="95"/>
      <c r="K1" s="95"/>
      <c r="L1" s="95"/>
      <c r="O1" s="96" t="s">
        <v>22</v>
      </c>
      <c r="P1" s="96"/>
      <c r="Q1" s="96"/>
      <c r="R1" s="96"/>
      <c r="U1" s="97" t="s">
        <v>76</v>
      </c>
      <c r="V1" s="97"/>
      <c r="W1" s="97"/>
      <c r="X1" s="97"/>
      <c r="AB1" s="92" t="s">
        <v>96</v>
      </c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R1" s="93" t="s">
        <v>108</v>
      </c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H1" s="94" t="s">
        <v>109</v>
      </c>
      <c r="BI1" s="94"/>
      <c r="BJ1" s="94"/>
      <c r="BK1" s="94"/>
      <c r="BL1" s="94"/>
      <c r="BM1" s="94"/>
      <c r="BN1" s="94"/>
      <c r="BO1" s="94"/>
      <c r="BP1" s="94"/>
      <c r="BQ1" s="94"/>
      <c r="BR1" s="94"/>
      <c r="BS1" s="94"/>
      <c r="BT1" s="94"/>
    </row>
    <row r="2" spans="1:72">
      <c r="A2" s="22" t="s">
        <v>49</v>
      </c>
      <c r="B2" s="22" t="s">
        <v>50</v>
      </c>
      <c r="C2" s="22" t="s">
        <v>51</v>
      </c>
      <c r="D2" s="22" t="s">
        <v>52</v>
      </c>
      <c r="E2" s="22" t="s">
        <v>53</v>
      </c>
      <c r="F2" s="22" t="s">
        <v>54</v>
      </c>
      <c r="G2" s="22" t="s">
        <v>72</v>
      </c>
      <c r="I2" s="59" t="s">
        <v>74</v>
      </c>
      <c r="J2" s="59" t="s">
        <v>75</v>
      </c>
      <c r="K2" s="59" t="s">
        <v>57</v>
      </c>
      <c r="L2" s="59" t="s">
        <v>64</v>
      </c>
      <c r="O2" s="22" t="s">
        <v>74</v>
      </c>
      <c r="P2" s="22" t="s">
        <v>75</v>
      </c>
      <c r="Q2" s="22" t="s">
        <v>57</v>
      </c>
      <c r="R2" s="22" t="s">
        <v>64</v>
      </c>
      <c r="U2" s="22" t="s">
        <v>74</v>
      </c>
      <c r="V2" s="22" t="s">
        <v>75</v>
      </c>
      <c r="W2" s="22" t="s">
        <v>57</v>
      </c>
      <c r="X2" s="22" t="s">
        <v>64</v>
      </c>
      <c r="AB2" s="74" t="s">
        <v>57</v>
      </c>
      <c r="AC2" s="74" t="s">
        <v>97</v>
      </c>
      <c r="AD2" s="75" t="s">
        <v>64</v>
      </c>
      <c r="AE2" s="75" t="s">
        <v>98</v>
      </c>
      <c r="AG2" s="22" t="s">
        <v>74</v>
      </c>
      <c r="AH2" s="22" t="s">
        <v>110</v>
      </c>
      <c r="AI2" s="22" t="s">
        <v>111</v>
      </c>
      <c r="AJ2" s="22" t="s">
        <v>112</v>
      </c>
      <c r="AK2" s="22" t="s">
        <v>113</v>
      </c>
      <c r="AL2" s="22" t="s">
        <v>114</v>
      </c>
      <c r="AM2" s="22" t="s">
        <v>116</v>
      </c>
      <c r="AN2" s="22" t="s">
        <v>115</v>
      </c>
      <c r="AR2" s="74" t="s">
        <v>57</v>
      </c>
      <c r="AS2" s="74" t="s">
        <v>97</v>
      </c>
      <c r="AT2" s="75" t="s">
        <v>64</v>
      </c>
      <c r="AU2" s="75" t="s">
        <v>98</v>
      </c>
      <c r="AW2" s="22" t="s">
        <v>74</v>
      </c>
      <c r="AX2" s="22" t="s">
        <v>110</v>
      </c>
      <c r="AY2" s="22" t="s">
        <v>111</v>
      </c>
      <c r="AZ2" s="22" t="s">
        <v>112</v>
      </c>
      <c r="BA2" s="22" t="s">
        <v>113</v>
      </c>
      <c r="BB2" s="22" t="s">
        <v>114</v>
      </c>
      <c r="BC2" s="22" t="s">
        <v>116</v>
      </c>
      <c r="BD2" s="22" t="s">
        <v>115</v>
      </c>
      <c r="BH2" s="76" t="s">
        <v>57</v>
      </c>
      <c r="BI2" s="76" t="s">
        <v>97</v>
      </c>
      <c r="BJ2" s="77" t="s">
        <v>64</v>
      </c>
      <c r="BK2" s="77" t="s">
        <v>98</v>
      </c>
      <c r="BM2" s="22" t="s">
        <v>74</v>
      </c>
      <c r="BN2" s="22" t="s">
        <v>110</v>
      </c>
      <c r="BO2" s="22" t="s">
        <v>111</v>
      </c>
      <c r="BP2" s="22" t="s">
        <v>112</v>
      </c>
      <c r="BQ2" s="22" t="s">
        <v>113</v>
      </c>
      <c r="BR2" s="22" t="s">
        <v>114</v>
      </c>
      <c r="BS2" s="22" t="s">
        <v>116</v>
      </c>
      <c r="BT2" s="22" t="s">
        <v>115</v>
      </c>
    </row>
    <row r="3" spans="1:72">
      <c r="A3" s="53">
        <f>6.62607015*10^-34</f>
        <v>6.6260701500000015E-34</v>
      </c>
      <c r="B3" s="54">
        <f>9.109383 *10^-31</f>
        <v>9.109383E-31</v>
      </c>
      <c r="C3" s="53">
        <f>1.602176634*10^-19</f>
        <v>1.6021766340000001E-19</v>
      </c>
      <c r="D3" s="22">
        <f>0.213*10^-9</f>
        <v>2.1300000000000001E-10</v>
      </c>
      <c r="E3" s="22">
        <f>0.123*10^-9</f>
        <v>1.2300000000000001E-10</v>
      </c>
      <c r="F3" s="22">
        <f>125*10^-3</f>
        <v>0.125</v>
      </c>
      <c r="G3" s="22">
        <f>2*10^-3</f>
        <v>2E-3</v>
      </c>
      <c r="I3" s="55">
        <v>3.3</v>
      </c>
      <c r="J3" s="55">
        <v>0.05</v>
      </c>
      <c r="K3" s="56">
        <f>C12*10^-3</f>
        <v>1.56258937480299E-2</v>
      </c>
      <c r="L3" s="56">
        <f>E12*10^-3</f>
        <v>2.4358215545555003E-2</v>
      </c>
      <c r="O3" s="55">
        <v>2.9</v>
      </c>
      <c r="P3" s="55">
        <v>0.05</v>
      </c>
      <c r="Q3" s="56">
        <f>C10*10^-3</f>
        <v>1.4132897524374499E-2</v>
      </c>
      <c r="R3" s="56">
        <f>E10*10^-3</f>
        <v>2.45109397376423E-2</v>
      </c>
      <c r="U3" s="55">
        <v>3.4</v>
      </c>
      <c r="V3" s="55">
        <v>0.05</v>
      </c>
      <c r="W3" s="56">
        <f>C13*10^-3</f>
        <v>1.54212070020413E-2</v>
      </c>
      <c r="X3" s="71">
        <f>E13*10^-3</f>
        <v>2.7434546940849302E-2</v>
      </c>
      <c r="AB3" s="56">
        <f>C12*10^-3</f>
        <v>1.56258937480299E-2</v>
      </c>
      <c r="AC3" s="56">
        <f>D12*10^-3</f>
        <v>1.6937381733540999E-3</v>
      </c>
      <c r="AD3" s="56">
        <f>E12*10^-3</f>
        <v>2.4358215545555003E-2</v>
      </c>
      <c r="AE3" s="56">
        <f>F12*10^-3</f>
        <v>4.6691997856601296E-3</v>
      </c>
      <c r="AG3" s="55">
        <f>I3</f>
        <v>3.3</v>
      </c>
      <c r="AH3" s="55">
        <f>J3</f>
        <v>0.05</v>
      </c>
      <c r="AI3" s="50">
        <f>AB12*10^9</f>
        <v>2.1033032607676899E-2</v>
      </c>
      <c r="AJ3" s="50">
        <f>AD12*10^9</f>
        <v>1.6173739819122369E-4</v>
      </c>
      <c r="AK3" s="50">
        <f>AF12*10^9</f>
        <v>2.6626522946642951E-2</v>
      </c>
      <c r="AL3" s="50">
        <f>AI12*10^9</f>
        <v>2.9174033415743034E-3</v>
      </c>
      <c r="AM3" s="22">
        <f>AK12*10^9</f>
        <v>2.3968484096826129E-2</v>
      </c>
      <c r="AN3" s="22">
        <f>AN12*10^9</f>
        <v>4.6104697307382154E-3</v>
      </c>
      <c r="AR3" s="56">
        <f t="shared" ref="AR3:AU4" si="0">C10*10^-3</f>
        <v>1.4132897524374499E-2</v>
      </c>
      <c r="AS3" s="56">
        <f t="shared" si="0"/>
        <v>1.6132140106919E-3</v>
      </c>
      <c r="AT3" s="56">
        <f t="shared" si="0"/>
        <v>2.45109397376423E-2</v>
      </c>
      <c r="AU3" s="56">
        <f t="shared" si="0"/>
        <v>1.82238327806422E-3</v>
      </c>
      <c r="AW3" s="55">
        <f>O3</f>
        <v>2.9</v>
      </c>
      <c r="AX3" s="55">
        <f>P3</f>
        <v>0.05</v>
      </c>
      <c r="AY3" s="50">
        <f>AR12*10^9</f>
        <v>2.2774159330387487E-2</v>
      </c>
      <c r="AZ3" s="50">
        <f>AT12*10^9</f>
        <v>1.9632895974471961E-4</v>
      </c>
      <c r="BA3" s="50">
        <f>AV12*10^9</f>
        <v>2.408245738153415E-2</v>
      </c>
      <c r="BB3" s="50">
        <f>AY12*10^9</f>
        <v>4.047671948525464E-3</v>
      </c>
      <c r="BC3" s="22">
        <f>BA12*10^9</f>
        <v>2.4118764701840024E-2</v>
      </c>
      <c r="BD3" s="22">
        <f>BD12*10^9</f>
        <v>3.4741038759257049E-3</v>
      </c>
      <c r="BH3" s="56">
        <f>C13*10^-3</f>
        <v>1.54212070020413E-2</v>
      </c>
      <c r="BI3" s="56">
        <f>D13*10^-3</f>
        <v>7.5790923401883E-4</v>
      </c>
      <c r="BJ3" s="71">
        <f>E13*10^-3</f>
        <v>2.7434546940849302E-2</v>
      </c>
      <c r="BK3" s="71">
        <f>F13*10^-3</f>
        <v>1.07320655973356E-3</v>
      </c>
      <c r="BM3" s="55">
        <f>U3</f>
        <v>3.4</v>
      </c>
      <c r="BN3" s="55">
        <f>V3</f>
        <v>0.05</v>
      </c>
      <c r="BO3" s="50">
        <f>BH12*10^9</f>
        <v>2.1033032607676899E-2</v>
      </c>
      <c r="BP3" s="50">
        <f>BJ12*10^9</f>
        <v>1.5465465152703607E-4</v>
      </c>
      <c r="BQ3" s="50">
        <f>BL12*10^9</f>
        <v>2.6277736731478377E-2</v>
      </c>
      <c r="BR3" s="50">
        <f>BO12*10^9</f>
        <v>5.2015778953504099E-3</v>
      </c>
      <c r="BS3" s="22">
        <f>BQ12*10^9</f>
        <v>2.6995594189795715E-2</v>
      </c>
      <c r="BT3" s="22">
        <f>BT12*10^9</f>
        <v>5.2829713792195941E-3</v>
      </c>
    </row>
    <row r="4" spans="1:72">
      <c r="I4" s="55">
        <v>3.6</v>
      </c>
      <c r="J4" s="55">
        <v>0.05</v>
      </c>
      <c r="K4" s="56">
        <f>C14*10^-3</f>
        <v>1.4276839465305001E-2</v>
      </c>
      <c r="L4" s="56">
        <f>E14*10^-3</f>
        <v>2.4570261486439801E-2</v>
      </c>
      <c r="O4" s="55">
        <v>3.2</v>
      </c>
      <c r="P4" s="55">
        <v>0.05</v>
      </c>
      <c r="Q4" s="56">
        <f>C11*10^-3</f>
        <v>1.5732162547740902E-2</v>
      </c>
      <c r="R4" s="56">
        <f>E11*10^-3</f>
        <v>2.7627634215834401E-2</v>
      </c>
      <c r="U4" s="55">
        <v>3.8</v>
      </c>
      <c r="V4" s="55">
        <v>0.05</v>
      </c>
      <c r="W4" s="56">
        <f>C17*10^-3</f>
        <v>1.4837621682306599E-2</v>
      </c>
      <c r="X4" s="71">
        <f>E17*10^-3</f>
        <v>2.5051673443241801E-2</v>
      </c>
      <c r="AB4" s="56">
        <f>C14*10^-3</f>
        <v>1.4276839465305001E-2</v>
      </c>
      <c r="AC4" s="56">
        <f>D14*10^-3</f>
        <v>1.5944380727905101E-3</v>
      </c>
      <c r="AD4" s="56">
        <f>E14*10^-3</f>
        <v>2.4570261486439801E-2</v>
      </c>
      <c r="AE4" s="56">
        <f>F14*10^-3</f>
        <v>1.7789713970628E-3</v>
      </c>
      <c r="AG4" s="55">
        <f t="shared" ref="AG4:AG7" si="1">I4</f>
        <v>3.6</v>
      </c>
      <c r="AH4" s="55">
        <f t="shared" ref="AH4:AH8" si="2">J4</f>
        <v>0.05</v>
      </c>
      <c r="AI4" s="50">
        <f t="shared" ref="AI4:AI7" si="3">AB13*10^9</f>
        <v>2.0440433556346102E-2</v>
      </c>
      <c r="AJ4" s="50">
        <f t="shared" ref="AJ4:AJ8" si="4">AD13*10^9</f>
        <v>1.4194745525240374E-4</v>
      </c>
      <c r="AK4" s="50">
        <f t="shared" ref="AK4:AK8" si="5">AF13*10^9</f>
        <v>2.4327734448879725E-2</v>
      </c>
      <c r="AL4" s="50">
        <f t="shared" ref="AL4:AL8" si="6">AI13*10^9</f>
        <v>2.7169224760350296E-3</v>
      </c>
      <c r="AM4" s="22">
        <f t="shared" ref="AM4:AM6" si="7">AK13*10^9</f>
        <v>2.4177137302656769E-2</v>
      </c>
      <c r="AN4" s="22">
        <f t="shared" ref="AN4:AN8" si="8">AN13*10^9</f>
        <v>1.7505078547097954E-3</v>
      </c>
      <c r="AR4" s="56">
        <f t="shared" si="0"/>
        <v>1.5732162547740902E-2</v>
      </c>
      <c r="AS4" s="56">
        <f t="shared" si="0"/>
        <v>1.6209728086141299E-3</v>
      </c>
      <c r="AT4" s="56">
        <f t="shared" si="0"/>
        <v>2.7627634215834401E-2</v>
      </c>
      <c r="AU4" s="56">
        <f t="shared" si="0"/>
        <v>1.6773502082984299E-3</v>
      </c>
      <c r="AW4" s="55">
        <f t="shared" ref="AW4:AW7" si="9">O4</f>
        <v>3.2</v>
      </c>
      <c r="AX4" s="55">
        <f t="shared" ref="AX4:AX9" si="10">P4</f>
        <v>0.05</v>
      </c>
      <c r="AY4" s="50">
        <f t="shared" ref="AY4:AY9" si="11">AR13*10^9</f>
        <v>2.1680353767128076E-2</v>
      </c>
      <c r="AZ4" s="50">
        <f t="shared" ref="AZ4:AZ8" si="12">AT13*10^9</f>
        <v>1.6937776380568788E-4</v>
      </c>
      <c r="BA4" s="50">
        <f t="shared" ref="BA4:BA9" si="13">AV13*10^9</f>
        <v>2.68076049813505E-2</v>
      </c>
      <c r="BB4" s="50">
        <f t="shared" ref="BB4:BB9" si="14">AY13*10^9</f>
        <v>4.2136793498428471E-3</v>
      </c>
      <c r="BC4" s="22">
        <f t="shared" ref="BC4:BC9" si="15">BA13*10^9</f>
        <v>2.7185592068381052E-2</v>
      </c>
      <c r="BD4" s="22">
        <f t="shared" ref="BD4:BD9" si="16">BD13*10^9</f>
        <v>3.6245604492897297E-3</v>
      </c>
      <c r="BH4" s="56">
        <f>C17*10^-3</f>
        <v>1.4837621682306599E-2</v>
      </c>
      <c r="BI4" s="56">
        <f>D17*10^-3</f>
        <v>8.7554886606265006E-4</v>
      </c>
      <c r="BJ4" s="71">
        <f>E17*10^-3</f>
        <v>2.5051673443241801E-2</v>
      </c>
      <c r="BK4" s="71">
        <f>F17*10^-3</f>
        <v>1.0879541548497501E-3</v>
      </c>
      <c r="BM4" s="55">
        <f t="shared" ref="BM4:BM7" si="17">U4</f>
        <v>3.8</v>
      </c>
      <c r="BN4" s="55">
        <f t="shared" ref="BN4:BN7" si="18">V4</f>
        <v>0.05</v>
      </c>
      <c r="BO4" s="50">
        <f t="shared" ref="BO4:BO7" si="19">BH13*10^9</f>
        <v>1.9895257080236345E-2</v>
      </c>
      <c r="BP4" s="50">
        <f t="shared" ref="BP4:BP7" si="20">BJ13*10^9</f>
        <v>1.3088984921208103E-4</v>
      </c>
      <c r="BQ4" s="50">
        <f t="shared" ref="BQ4:BQ7" si="21">BL13*10^9</f>
        <v>2.5283307346650446E-2</v>
      </c>
      <c r="BR4" s="50">
        <f t="shared" ref="BR4:BR7" si="22">BO13*10^9</f>
        <v>5.1127449652982717E-3</v>
      </c>
      <c r="BS4" s="22">
        <f t="shared" ref="BS4:BS7" si="23">BQ13*10^9</f>
        <v>2.4650846668149935E-2</v>
      </c>
      <c r="BT4" s="22">
        <f t="shared" ref="BT4:BT7" si="24">BT13*10^9</f>
        <v>4.8866036900283693E-3</v>
      </c>
    </row>
    <row r="5" spans="1:72">
      <c r="I5" s="55">
        <v>3.9</v>
      </c>
      <c r="J5" s="55">
        <v>0.05</v>
      </c>
      <c r="K5" s="56">
        <f>C18*10^-3</f>
        <v>1.38932319612138E-2</v>
      </c>
      <c r="L5" s="56">
        <f>E18*10^-3</f>
        <v>2.3584644319459402E-2</v>
      </c>
      <c r="O5" s="55">
        <v>3.6</v>
      </c>
      <c r="P5" s="55">
        <v>0.05</v>
      </c>
      <c r="Q5" s="56">
        <f>C15*10^-3</f>
        <v>1.4608209450585601E-2</v>
      </c>
      <c r="R5" s="56">
        <f>E15*10^-3</f>
        <v>2.5280442414886799E-2</v>
      </c>
      <c r="U5" s="55">
        <v>4.0999999999999996</v>
      </c>
      <c r="V5" s="55">
        <v>0.05</v>
      </c>
      <c r="W5" s="56">
        <f>C21*10^-3</f>
        <v>1.41477581631242E-2</v>
      </c>
      <c r="X5" s="71">
        <f>E21*10^-3</f>
        <v>2.3991469043145797E-2</v>
      </c>
      <c r="AB5" s="56">
        <f>C18*10^-3</f>
        <v>1.38932319612138E-2</v>
      </c>
      <c r="AC5" s="56">
        <f>D18*10^-3</f>
        <v>1.58459355835109E-3</v>
      </c>
      <c r="AD5" s="56">
        <f>E18*10^-3</f>
        <v>2.3584644319459402E-2</v>
      </c>
      <c r="AE5" s="56">
        <f>F18*10^-3</f>
        <v>1.7056280294042601E-3</v>
      </c>
      <c r="AG5" s="55">
        <f t="shared" si="1"/>
        <v>3.9</v>
      </c>
      <c r="AH5" s="55">
        <f t="shared" si="2"/>
        <v>0.05</v>
      </c>
      <c r="AI5" s="50">
        <f t="shared" si="3"/>
        <v>1.9638533330119515E-2</v>
      </c>
      <c r="AJ5" s="50">
        <f t="shared" si="4"/>
        <v>1.2588803416743291E-4</v>
      </c>
      <c r="AK5" s="50">
        <f t="shared" si="5"/>
        <v>2.3674067261908315E-2</v>
      </c>
      <c r="AL5" s="50">
        <f t="shared" si="6"/>
        <v>2.7001474234302578E-3</v>
      </c>
      <c r="AM5" s="22">
        <f t="shared" si="7"/>
        <v>2.3207290010348054E-2</v>
      </c>
      <c r="AN5" s="22">
        <f t="shared" si="8"/>
        <v>1.6783379809337921E-3</v>
      </c>
      <c r="AR5" s="56">
        <f t="shared" ref="AR5:AU6" si="25">C15*10^-3</f>
        <v>1.4608209450585601E-2</v>
      </c>
      <c r="AS5" s="56">
        <f t="shared" si="25"/>
        <v>1.65422061844574E-3</v>
      </c>
      <c r="AT5" s="56">
        <f t="shared" si="25"/>
        <v>2.5280442414886799E-2</v>
      </c>
      <c r="AU5" s="56">
        <f t="shared" si="25"/>
        <v>1.77228520735059E-3</v>
      </c>
      <c r="AW5" s="55">
        <f t="shared" si="9"/>
        <v>3.6</v>
      </c>
      <c r="AX5" s="55">
        <f t="shared" si="10"/>
        <v>0.05</v>
      </c>
      <c r="AY5" s="50">
        <f t="shared" si="11"/>
        <v>2.0440433556346102E-2</v>
      </c>
      <c r="AZ5" s="50">
        <f t="shared" si="12"/>
        <v>1.4194745525240374E-4</v>
      </c>
      <c r="BA5" s="50">
        <f t="shared" si="13"/>
        <v>2.4892388903797864E-2</v>
      </c>
      <c r="BB5" s="50">
        <f t="shared" si="14"/>
        <v>3.985369854428553E-3</v>
      </c>
      <c r="BC5" s="22">
        <f t="shared" si="15"/>
        <v>2.487595533624861E-2</v>
      </c>
      <c r="BD5" s="22">
        <f t="shared" si="16"/>
        <v>3.3118567217586101E-3</v>
      </c>
      <c r="BH5" s="56">
        <f>C21*10^-3</f>
        <v>1.41477581631242E-2</v>
      </c>
      <c r="BI5" s="56">
        <f>D21*10^-3</f>
        <v>9.6726917441917408E-4</v>
      </c>
      <c r="BJ5" s="71">
        <f>E21*10^-3</f>
        <v>2.3991469043145797E-2</v>
      </c>
      <c r="BK5" s="71">
        <f>F21*10^-3</f>
        <v>1.0661672525943001E-3</v>
      </c>
      <c r="BM5" s="55">
        <f t="shared" si="17"/>
        <v>4.0999999999999996</v>
      </c>
      <c r="BN5" s="55">
        <f t="shared" si="18"/>
        <v>0.05</v>
      </c>
      <c r="BO5" s="50">
        <f t="shared" si="19"/>
        <v>1.9153556418772019E-2</v>
      </c>
      <c r="BP5" s="50">
        <f t="shared" si="20"/>
        <v>1.1678997816324404E-4</v>
      </c>
      <c r="BQ5" s="50">
        <f t="shared" si="21"/>
        <v>2.4107779909963638E-2</v>
      </c>
      <c r="BR5" s="50">
        <f t="shared" si="22"/>
        <v>4.7696462759186115E-3</v>
      </c>
      <c r="BS5" s="22">
        <f t="shared" si="23"/>
        <v>2.3607605538455468E-2</v>
      </c>
      <c r="BT5" s="22">
        <f t="shared" si="24"/>
        <v>4.5067577430882933E-3</v>
      </c>
    </row>
    <row r="6" spans="1:72">
      <c r="I6" s="55">
        <v>4.05</v>
      </c>
      <c r="J6" s="55">
        <v>0.05</v>
      </c>
      <c r="K6" s="56">
        <f>C20*10^-3</f>
        <v>1.4202986215545801E-2</v>
      </c>
      <c r="L6" s="56">
        <f>E20*10^-3</f>
        <v>2.4109663560267103E-2</v>
      </c>
      <c r="O6" s="55">
        <v>3.75</v>
      </c>
      <c r="P6" s="55">
        <v>0.05</v>
      </c>
      <c r="Q6" s="56">
        <f>C16*10^-3</f>
        <v>1.47522399847013E-2</v>
      </c>
      <c r="R6" s="56">
        <f>E16*10^-3</f>
        <v>2.5586551655522899E-2</v>
      </c>
      <c r="U6" s="55">
        <v>4.3499999999999996</v>
      </c>
      <c r="V6" s="55">
        <v>0.05</v>
      </c>
      <c r="W6" s="56">
        <f>C24*10^-3</f>
        <v>1.4295788703025902E-2</v>
      </c>
      <c r="X6" s="71">
        <f>E24*10^-3</f>
        <v>2.4005844047446101E-2</v>
      </c>
      <c r="AB6" s="56">
        <f>C20*10^-3</f>
        <v>1.4202986215545801E-2</v>
      </c>
      <c r="AC6" s="56">
        <f>D20*10^-3</f>
        <v>1.5927004496706402E-3</v>
      </c>
      <c r="AD6" s="56">
        <f>E20*10^-3</f>
        <v>2.4109663560267103E-2</v>
      </c>
      <c r="AE6" s="56">
        <f>F20*10^-3</f>
        <v>1.7477286396192699E-3</v>
      </c>
      <c r="AG6" s="55">
        <f t="shared" si="1"/>
        <v>4.05</v>
      </c>
      <c r="AH6" s="55">
        <f t="shared" si="2"/>
        <v>0.05</v>
      </c>
      <c r="AI6" s="50">
        <f t="shared" si="3"/>
        <v>1.9271425570780515E-2</v>
      </c>
      <c r="AJ6" s="50">
        <f t="shared" si="4"/>
        <v>1.1895941710358335E-4</v>
      </c>
      <c r="AK6" s="50">
        <f t="shared" si="5"/>
        <v>2.4201888511290046E-2</v>
      </c>
      <c r="AL6" s="50">
        <f t="shared" si="6"/>
        <v>2.7139615662387711E-3</v>
      </c>
      <c r="AM6" s="22">
        <f t="shared" si="7"/>
        <v>2.372390894330283E-2</v>
      </c>
      <c r="AN6" s="22">
        <f t="shared" si="8"/>
        <v>1.7197649813853618E-3</v>
      </c>
      <c r="AR6" s="56">
        <f t="shared" si="25"/>
        <v>1.47522399847013E-2</v>
      </c>
      <c r="AS6" s="56">
        <f t="shared" si="25"/>
        <v>1.5544896639771899E-3</v>
      </c>
      <c r="AT6" s="56">
        <f t="shared" si="25"/>
        <v>2.5586551655522899E-2</v>
      </c>
      <c r="AU6" s="56">
        <f t="shared" si="25"/>
        <v>1.65576994046706E-3</v>
      </c>
      <c r="AW6" s="55">
        <f t="shared" si="9"/>
        <v>3.75</v>
      </c>
      <c r="AX6" s="55">
        <f t="shared" si="10"/>
        <v>0.05</v>
      </c>
      <c r="AY6" s="50">
        <f t="shared" si="11"/>
        <v>2.0027452933724342E-2</v>
      </c>
      <c r="AZ6" s="50">
        <f t="shared" si="12"/>
        <v>1.3351635289149559E-4</v>
      </c>
      <c r="BA6" s="50">
        <f t="shared" si="13"/>
        <v>2.5137816933931016E-2</v>
      </c>
      <c r="BB6" s="50">
        <f t="shared" si="14"/>
        <v>3.9091648303945254E-3</v>
      </c>
      <c r="BC6" s="22">
        <f t="shared" si="15"/>
        <v>2.5177166829034536E-2</v>
      </c>
      <c r="BD6" s="22">
        <f t="shared" si="16"/>
        <v>3.3084139899576663E-3</v>
      </c>
      <c r="BH6" s="56">
        <f>C24*10^-3</f>
        <v>1.4295788703025902E-2</v>
      </c>
      <c r="BI6" s="56">
        <f>D24*10^-3</f>
        <v>9.5743396407127306E-4</v>
      </c>
      <c r="BJ6" s="71">
        <f>E24*10^-3</f>
        <v>2.4005844047446101E-2</v>
      </c>
      <c r="BK6" s="71">
        <f>F24*10^-3</f>
        <v>1.06098217897798E-3</v>
      </c>
      <c r="BM6" s="55">
        <f t="shared" si="17"/>
        <v>4.3499999999999996</v>
      </c>
      <c r="BN6" s="55">
        <f t="shared" si="18"/>
        <v>0.05</v>
      </c>
      <c r="BO6" s="50">
        <f t="shared" si="19"/>
        <v>1.8595023226764654E-2</v>
      </c>
      <c r="BP6" s="50">
        <f t="shared" si="20"/>
        <v>1.0686794957910707E-4</v>
      </c>
      <c r="BQ6" s="50">
        <f t="shared" si="21"/>
        <v>2.4360023949956136E-2</v>
      </c>
      <c r="BR6" s="50">
        <f t="shared" si="22"/>
        <v>4.9027311987591693E-3</v>
      </c>
      <c r="BS6" s="22">
        <f t="shared" si="23"/>
        <v>2.3621750542686965E-2</v>
      </c>
      <c r="BT6" s="22">
        <f t="shared" si="24"/>
        <v>4.6031565596175439E-3</v>
      </c>
    </row>
    <row r="7" spans="1:72">
      <c r="I7" s="55">
        <v>4.3499999999999996</v>
      </c>
      <c r="J7" s="55">
        <v>0.05</v>
      </c>
      <c r="K7" s="56">
        <f>C23*10^-3</f>
        <v>1.27285216590373E-2</v>
      </c>
      <c r="L7" s="56">
        <f>E23*10^-3</f>
        <v>2.1344298560892601E-2</v>
      </c>
      <c r="O7" s="55">
        <v>4</v>
      </c>
      <c r="P7" s="55">
        <v>0.05</v>
      </c>
      <c r="Q7" s="56">
        <f>C19*10^-3</f>
        <v>1.41598407711416E-2</v>
      </c>
      <c r="R7" s="56">
        <f>E19*10^-3</f>
        <v>2.4307674223869199E-2</v>
      </c>
      <c r="U7" s="55">
        <v>4.5</v>
      </c>
      <c r="V7" s="55">
        <v>0.05</v>
      </c>
      <c r="W7" s="56">
        <f>C26*10^-3</f>
        <v>1.3857623040785499E-2</v>
      </c>
      <c r="X7" s="71">
        <f>E26*10^-3</f>
        <v>2.2961419711043599E-2</v>
      </c>
      <c r="AB7" s="56">
        <f>C23*10^-3</f>
        <v>1.27285216590373E-2</v>
      </c>
      <c r="AC7" s="56">
        <f>D23*10^-3</f>
        <v>1.5238300246508002E-3</v>
      </c>
      <c r="AD7" s="56">
        <f>E23*10^-3</f>
        <v>2.1344298560892601E-2</v>
      </c>
      <c r="AE7" s="56">
        <f>F23*10^-3</f>
        <v>1.6759499431585601E-3</v>
      </c>
      <c r="AG7" s="55">
        <f t="shared" si="1"/>
        <v>4.3499999999999996</v>
      </c>
      <c r="AH7" s="55">
        <f t="shared" si="2"/>
        <v>0.05</v>
      </c>
      <c r="AI7" s="50">
        <f t="shared" si="3"/>
        <v>1.8595023226764654E-2</v>
      </c>
      <c r="AJ7" s="50">
        <f t="shared" si="4"/>
        <v>1.0686794957910707E-4</v>
      </c>
      <c r="AK7" s="50">
        <f t="shared" si="5"/>
        <v>2.1689400906999563E-2</v>
      </c>
      <c r="AL7" s="50">
        <f t="shared" si="6"/>
        <v>2.5966063620049638E-3</v>
      </c>
      <c r="AM7" s="22">
        <f>AK16*10^9</f>
        <v>2.1002789783918323E-2</v>
      </c>
      <c r="AN7" s="22">
        <f t="shared" si="8"/>
        <v>1.6491347440680234E-3</v>
      </c>
      <c r="AR7" s="56">
        <f>C19*10^-3</f>
        <v>1.41598407711416E-2</v>
      </c>
      <c r="AS7" s="56">
        <f>D19*10^-3</f>
        <v>1.4168863893253801E-3</v>
      </c>
      <c r="AT7" s="56">
        <f>E19*10^-3</f>
        <v>2.4307674223869199E-2</v>
      </c>
      <c r="AU7" s="56">
        <f>F19*10^-3</f>
        <v>1.67317466996315E-3</v>
      </c>
      <c r="AW7" s="55">
        <f t="shared" si="9"/>
        <v>4</v>
      </c>
      <c r="AX7" s="55">
        <f t="shared" si="10"/>
        <v>0.05</v>
      </c>
      <c r="AY7" s="50">
        <f t="shared" si="11"/>
        <v>1.939149791981681E-2</v>
      </c>
      <c r="AZ7" s="50">
        <f t="shared" si="12"/>
        <v>1.2119686199885508E-4</v>
      </c>
      <c r="BA7" s="50">
        <f t="shared" si="13"/>
        <v>2.4128368674025288E-2</v>
      </c>
      <c r="BB7" s="50">
        <f t="shared" si="14"/>
        <v>3.6033686243128684E-3</v>
      </c>
      <c r="BC7" s="22">
        <f t="shared" si="15"/>
        <v>2.3918751436287296E-2</v>
      </c>
      <c r="BD7" s="22">
        <f t="shared" si="16"/>
        <v>3.1212060173397269E-3</v>
      </c>
      <c r="BH7" s="56">
        <f>C26*10^-3</f>
        <v>1.3857623040785499E-2</v>
      </c>
      <c r="BI7" s="56">
        <f>D26*10^-3</f>
        <v>9.6053842000012608E-4</v>
      </c>
      <c r="BJ7" s="71">
        <f>E26*10^-3</f>
        <v>2.2961419711043599E-2</v>
      </c>
      <c r="BK7" s="71">
        <f>F26*10^-3</f>
        <v>1.0503465778014301E-3</v>
      </c>
      <c r="BM7" s="55">
        <f t="shared" si="17"/>
        <v>4.5</v>
      </c>
      <c r="BN7" s="55">
        <f t="shared" si="18"/>
        <v>0.05</v>
      </c>
      <c r="BO7" s="50">
        <f t="shared" si="19"/>
        <v>1.8282479568623063E-2</v>
      </c>
      <c r="BP7" s="50">
        <f t="shared" si="20"/>
        <v>1.0156933093679474E-4</v>
      </c>
      <c r="BQ7" s="50">
        <f t="shared" si="21"/>
        <v>2.3613389661498493E-2</v>
      </c>
      <c r="BR7" s="50">
        <f t="shared" si="22"/>
        <v>4.2919270821457425E-3</v>
      </c>
      <c r="BS7" s="22">
        <f t="shared" si="23"/>
        <v>2.2594036995666904E-2</v>
      </c>
      <c r="BT7" s="22">
        <f t="shared" si="24"/>
        <v>3.9344783070420393E-3</v>
      </c>
    </row>
    <row r="8" spans="1:72">
      <c r="A8" s="90" t="s">
        <v>95</v>
      </c>
      <c r="B8" s="90"/>
      <c r="C8" s="90"/>
      <c r="D8" s="90"/>
      <c r="E8" s="90"/>
      <c r="F8" s="90"/>
      <c r="I8" s="55">
        <v>4.5</v>
      </c>
      <c r="J8" s="55">
        <v>0.05</v>
      </c>
      <c r="K8" s="56">
        <f>C25*10^-3</f>
        <v>1.2652912148520899E-2</v>
      </c>
      <c r="L8" s="56">
        <f>E25*10^-3</f>
        <v>2.15576792195586E-2</v>
      </c>
      <c r="O8" s="55">
        <v>4.2</v>
      </c>
      <c r="P8" s="55">
        <v>0.05</v>
      </c>
      <c r="Q8" s="56">
        <f>C22*10^-3</f>
        <v>1.3998592400678501E-2</v>
      </c>
      <c r="R8" s="56">
        <f>E22*10^-3</f>
        <v>2.3585214490292303E-2</v>
      </c>
      <c r="AB8" s="56">
        <f>C25*10^-3</f>
        <v>1.2652912148520899E-2</v>
      </c>
      <c r="AC8" s="56">
        <f>D25*10^-3</f>
        <v>1.2770471819939999E-3</v>
      </c>
      <c r="AD8" s="56">
        <f>E25*10^-3</f>
        <v>2.15576792195586E-2</v>
      </c>
      <c r="AE8" s="56">
        <f>F25*10^-3</f>
        <v>1.4151791181836999E-3</v>
      </c>
      <c r="AG8" s="55">
        <f>I8</f>
        <v>4.5</v>
      </c>
      <c r="AH8" s="55">
        <f t="shared" si="2"/>
        <v>0.05</v>
      </c>
      <c r="AI8" s="50">
        <f>AB17*10^9</f>
        <v>1.8282479568623063E-2</v>
      </c>
      <c r="AJ8" s="50">
        <f t="shared" si="4"/>
        <v>1.0156933093679474E-4</v>
      </c>
      <c r="AK8" s="50">
        <f t="shared" si="5"/>
        <v>2.1560562301079611E-2</v>
      </c>
      <c r="AL8" s="50">
        <f t="shared" si="6"/>
        <v>2.1760883981177758E-3</v>
      </c>
      <c r="AM8" s="22">
        <f>AK17*10^9</f>
        <v>2.1212756352045666E-2</v>
      </c>
      <c r="AN8" s="22">
        <f t="shared" si="8"/>
        <v>1.3925362522927609E-3</v>
      </c>
      <c r="AR8" s="56">
        <f>C22*10^-3</f>
        <v>1.3998592400678501E-2</v>
      </c>
      <c r="AS8" s="56">
        <f>D22*10^-3</f>
        <v>1.4551827892046001E-3</v>
      </c>
      <c r="AT8" s="56">
        <f>E22*10^-3</f>
        <v>2.3585214490292303E-2</v>
      </c>
      <c r="AU8" s="56">
        <f>F22*10^-3</f>
        <v>1.57737107446238E-3</v>
      </c>
      <c r="AW8" s="55">
        <f>O8</f>
        <v>4.2</v>
      </c>
      <c r="AX8" s="55">
        <f>P8</f>
        <v>0.05</v>
      </c>
      <c r="AY8" s="50">
        <f t="shared" si="11"/>
        <v>1.8924164234530555E-2</v>
      </c>
      <c r="AZ8" s="50">
        <f t="shared" si="12"/>
        <v>1.1264383472934852E-4</v>
      </c>
      <c r="BA8" s="50">
        <f t="shared" si="13"/>
        <v>2.3853601450756171E-2</v>
      </c>
      <c r="BB8" s="50">
        <f t="shared" si="14"/>
        <v>2.4796314728046387E-3</v>
      </c>
      <c r="BC8" s="22">
        <f t="shared" si="15"/>
        <v>2.320785105844763E-2</v>
      </c>
      <c r="BD8" s="22">
        <f t="shared" si="16"/>
        <v>1.5521331372709819E-3</v>
      </c>
      <c r="BH8" s="60"/>
      <c r="BI8" s="60"/>
      <c r="BJ8" s="60"/>
      <c r="BK8" s="60"/>
    </row>
    <row r="9" spans="1:72">
      <c r="A9" s="66" t="s">
        <v>88</v>
      </c>
      <c r="B9" s="66" t="s">
        <v>87</v>
      </c>
      <c r="C9" s="66" t="s">
        <v>89</v>
      </c>
      <c r="D9" s="66" t="s">
        <v>90</v>
      </c>
      <c r="E9" s="66" t="s">
        <v>91</v>
      </c>
      <c r="F9" s="66" t="s">
        <v>92</v>
      </c>
      <c r="O9" s="55">
        <v>4.55</v>
      </c>
      <c r="P9" s="55">
        <v>0.05</v>
      </c>
      <c r="Q9" s="56">
        <f>C27*10^-3</f>
        <v>1.1984621134603201E-2</v>
      </c>
      <c r="R9" s="56">
        <f>E27*10^-3</f>
        <v>2.00178224383173E-2</v>
      </c>
      <c r="AR9" s="56">
        <f>C27*10^-3</f>
        <v>1.1984621134603201E-2</v>
      </c>
      <c r="AS9" s="56">
        <f>D27*10^-3</f>
        <v>1.9048862076527101E-3</v>
      </c>
      <c r="AT9" s="56">
        <f>E27*10^-3</f>
        <v>2.00178224383173E-2</v>
      </c>
      <c r="AU9" s="56">
        <f>F27*10^-3</f>
        <v>1.5035019813438499E-3</v>
      </c>
      <c r="AW9" s="55">
        <f>O9</f>
        <v>4.55</v>
      </c>
      <c r="AX9" s="55">
        <f t="shared" si="10"/>
        <v>0.05</v>
      </c>
      <c r="AY9" s="50">
        <f t="shared" si="11"/>
        <v>1.8181748887077825E-2</v>
      </c>
      <c r="AZ9" s="50">
        <f>AT18*10^9</f>
        <v>9.9899719159768358E-5</v>
      </c>
      <c r="BA9" s="50">
        <f t="shared" si="13"/>
        <v>2.0421794413363857E-2</v>
      </c>
      <c r="BB9" s="50">
        <f t="shared" si="14"/>
        <v>3.2459260978402182E-3</v>
      </c>
      <c r="BC9" s="22">
        <f t="shared" si="15"/>
        <v>1.9697537279304227E-2</v>
      </c>
      <c r="BD9" s="22">
        <f t="shared" si="16"/>
        <v>1.4794459496423483E-3</v>
      </c>
      <c r="BH9" s="60"/>
      <c r="BI9" s="60"/>
      <c r="BJ9" s="60"/>
      <c r="BK9" s="60"/>
    </row>
    <row r="10" spans="1:72">
      <c r="A10" s="67">
        <v>2900</v>
      </c>
      <c r="B10" s="69" t="s">
        <v>84</v>
      </c>
      <c r="C10" s="67">
        <v>14.132897524374499</v>
      </c>
      <c r="D10" s="67">
        <v>1.6132140106919</v>
      </c>
      <c r="E10" s="67">
        <v>24.5109397376423</v>
      </c>
      <c r="F10" s="67">
        <v>1.82238327806422</v>
      </c>
    </row>
    <row r="11" spans="1:72">
      <c r="A11" s="67">
        <v>3200</v>
      </c>
      <c r="B11" s="69" t="s">
        <v>84</v>
      </c>
      <c r="C11" s="67">
        <v>15.7321625477409</v>
      </c>
      <c r="D11" s="67">
        <v>1.62097280861413</v>
      </c>
      <c r="E11" s="67">
        <v>27.627634215834401</v>
      </c>
      <c r="F11" s="67">
        <v>1.67735020829843</v>
      </c>
      <c r="AB11" s="51" t="s">
        <v>99</v>
      </c>
      <c r="AC11" s="52" t="s">
        <v>100</v>
      </c>
      <c r="AD11" s="52" t="s">
        <v>101</v>
      </c>
      <c r="AF11" s="73" t="s">
        <v>102</v>
      </c>
      <c r="AG11" s="72" t="s">
        <v>103</v>
      </c>
      <c r="AH11" s="72" t="s">
        <v>104</v>
      </c>
      <c r="AI11" s="73" t="s">
        <v>105</v>
      </c>
      <c r="AK11" s="73" t="s">
        <v>106</v>
      </c>
      <c r="AL11" s="72" t="s">
        <v>103</v>
      </c>
      <c r="AM11" s="72" t="s">
        <v>104</v>
      </c>
      <c r="AN11" s="73" t="s">
        <v>107</v>
      </c>
      <c r="AR11" s="51" t="s">
        <v>99</v>
      </c>
      <c r="AS11" s="52" t="s">
        <v>100</v>
      </c>
      <c r="AT11" s="52" t="s">
        <v>101</v>
      </c>
      <c r="AV11" s="73" t="s">
        <v>102</v>
      </c>
      <c r="AW11" s="72" t="s">
        <v>103</v>
      </c>
      <c r="AX11" s="72" t="s">
        <v>104</v>
      </c>
      <c r="AY11" s="73" t="s">
        <v>105</v>
      </c>
      <c r="BA11" s="73" t="s">
        <v>106</v>
      </c>
      <c r="BB11" s="72" t="s">
        <v>103</v>
      </c>
      <c r="BC11" s="72" t="s">
        <v>104</v>
      </c>
      <c r="BD11" s="73" t="s">
        <v>107</v>
      </c>
      <c r="BH11" s="51" t="s">
        <v>99</v>
      </c>
      <c r="BI11" s="52" t="s">
        <v>100</v>
      </c>
      <c r="BJ11" s="52" t="s">
        <v>101</v>
      </c>
      <c r="BL11" s="78" t="s">
        <v>102</v>
      </c>
      <c r="BM11" s="79" t="s">
        <v>103</v>
      </c>
      <c r="BN11" s="79" t="s">
        <v>104</v>
      </c>
      <c r="BO11" s="78" t="s">
        <v>105</v>
      </c>
      <c r="BQ11" s="78" t="s">
        <v>106</v>
      </c>
      <c r="BR11" s="79" t="s">
        <v>103</v>
      </c>
      <c r="BS11" s="79" t="s">
        <v>104</v>
      </c>
      <c r="BT11" s="78" t="s">
        <v>107</v>
      </c>
    </row>
    <row r="12" spans="1:72">
      <c r="A12" s="67">
        <v>3300</v>
      </c>
      <c r="B12" s="70" t="s">
        <v>86</v>
      </c>
      <c r="C12" s="67">
        <v>15.625893748029901</v>
      </c>
      <c r="D12" s="67">
        <v>1.6937381733540999</v>
      </c>
      <c r="E12" s="67">
        <v>24.358215545555002</v>
      </c>
      <c r="F12" s="67">
        <v>4.6691997856601297</v>
      </c>
      <c r="AB12" s="50">
        <f>($A$3)/(SQRT(2*$C$3*$B$3*U3*10^3))</f>
        <v>2.1033032607676898E-11</v>
      </c>
      <c r="AC12" s="50">
        <f>($A$3)/SQRT(8*$B$3*$C$3)*(I3*10^3)^(-3/2)</f>
        <v>3.2347479638244737E-15</v>
      </c>
      <c r="AD12" s="50">
        <f>AC12*(J3*10^3)</f>
        <v>1.617373981912237E-13</v>
      </c>
      <c r="AF12" s="1">
        <f>($D$3*AB3)/$F$3</f>
        <v>2.6626522946642953E-11</v>
      </c>
      <c r="AG12" s="50">
        <f>$D$3/$F$3</f>
        <v>1.7040000000000001E-9</v>
      </c>
      <c r="AH12" s="50">
        <f>($D$3*AB3)/($F$3^2)</f>
        <v>2.1301218357314362E-10</v>
      </c>
      <c r="AI12" s="1">
        <f>SQRT((AG12*AC3)^2+(AH12*G3)^2)</f>
        <v>2.9174033415743035E-12</v>
      </c>
      <c r="AK12" s="1">
        <f>($E$3*AD3)/$F$3</f>
        <v>2.3968484096826127E-11</v>
      </c>
      <c r="AL12" s="50">
        <f>$E$3/$F$3</f>
        <v>9.8400000000000012E-10</v>
      </c>
      <c r="AM12" s="50">
        <f>($E$3*AD3)/($F$3^2)</f>
        <v>1.9174787277460902E-10</v>
      </c>
      <c r="AN12" s="1">
        <f>SQRT((AL12*AE3)^2+(AM12*G3)^2)</f>
        <v>4.6104697307382154E-12</v>
      </c>
      <c r="AR12" s="50">
        <f>($A$3)/(SQRT(2*$C$3*$B$3*O3*10^3))</f>
        <v>2.2774159330387487E-11</v>
      </c>
      <c r="AS12" s="50">
        <f>($A$3)/SQRT(8*$B$3*$C$3)*(O3*10^3)^(-3/2)</f>
        <v>3.9265791948943922E-15</v>
      </c>
      <c r="AT12" s="50">
        <f>AS12*(P3*10^3)</f>
        <v>1.9632895974471961E-13</v>
      </c>
      <c r="AV12" s="1">
        <f>($D$3*AR3)/$F$3</f>
        <v>2.4082457381534149E-11</v>
      </c>
      <c r="AW12" s="50">
        <f>$D$3/$F$3</f>
        <v>1.7040000000000001E-9</v>
      </c>
      <c r="AX12" s="50">
        <f>($D$3*AR3)/($F$3^2)</f>
        <v>1.9265965905227319E-10</v>
      </c>
      <c r="AY12" s="1">
        <f>SQRT((AW12*AS3)^2+(AX12*W3)^2)</f>
        <v>4.0476719485254643E-12</v>
      </c>
      <c r="BA12" s="1">
        <f>($E$3*AT3)/$F$3</f>
        <v>2.4118764701840025E-11</v>
      </c>
      <c r="BB12" s="50">
        <f>$E$3/$F$3</f>
        <v>9.8400000000000012E-10</v>
      </c>
      <c r="BC12" s="50">
        <f>($E$3*AT3)/($F$3^2)</f>
        <v>1.929501176147202E-10</v>
      </c>
      <c r="BD12" s="1">
        <f>SQRT((BB12*AU3)^2+(BC12*W3)^2)</f>
        <v>3.4741038759257049E-12</v>
      </c>
      <c r="BH12" s="50">
        <f>($A$3)/(SQRT(2*$C$3*$B$3*U3*10^3))</f>
        <v>2.1033032607676898E-11</v>
      </c>
      <c r="BI12" s="50">
        <f>($A$3)/SQRT(8*$B$3*$C$3)*(U3*10^3)^(-3/2)</f>
        <v>3.0930930305407217E-15</v>
      </c>
      <c r="BJ12" s="50">
        <f>BI12*(V3*10^3)</f>
        <v>1.5465465152703608E-13</v>
      </c>
      <c r="BL12" s="22">
        <f>($D$3*BH3)/$F$3</f>
        <v>2.6277736731478378E-11</v>
      </c>
      <c r="BM12" s="50">
        <f>$D$3/$F$3</f>
        <v>1.7040000000000001E-9</v>
      </c>
      <c r="BN12" s="50">
        <f>($D$3*BH3)/($F$3^2)</f>
        <v>2.1022189385182703E-10</v>
      </c>
      <c r="BO12" s="22">
        <f>SQRT((BM12*BI3)^2+(BN12*AM3)^2)</f>
        <v>5.2015778953504098E-12</v>
      </c>
      <c r="BQ12" s="22">
        <f>($E$3*BJ3)/$F$3</f>
        <v>2.6995594189795716E-11</v>
      </c>
      <c r="BR12" s="50">
        <f>$E$3/$F$3</f>
        <v>9.8400000000000012E-10</v>
      </c>
      <c r="BS12" s="50">
        <f>($E$3*BJ3)/($F$3^2)</f>
        <v>2.1596475351836573E-10</v>
      </c>
      <c r="BT12" s="22">
        <f>SQRT((BR12*BK3)^2+(BS12*AM3)^2)</f>
        <v>5.2829713792195942E-12</v>
      </c>
    </row>
    <row r="13" spans="1:72">
      <c r="A13" s="67">
        <v>3400</v>
      </c>
      <c r="B13" s="68" t="s">
        <v>85</v>
      </c>
      <c r="C13" s="67">
        <v>15.421207002041299</v>
      </c>
      <c r="D13" s="67">
        <v>0.75790923401883004</v>
      </c>
      <c r="E13" s="67">
        <v>27.434546940849302</v>
      </c>
      <c r="F13" s="67">
        <v>1.0732065597335601</v>
      </c>
      <c r="AB13" s="50">
        <f t="shared" ref="AB13:AB17" si="26">($A$3)/(SQRT(2*$C$3*$B$3*I4*10^3))</f>
        <v>2.0440433556346103E-11</v>
      </c>
      <c r="AC13" s="50">
        <f t="shared" ref="AC13:AC17" si="27">($A$3)/SQRT(8*$B$3*$C$3)*(I4*10^3)^(-3/2)</f>
        <v>2.8389491050480746E-15</v>
      </c>
      <c r="AD13" s="50">
        <f t="shared" ref="AD13:AD17" si="28">AC13*(J4*10^3)</f>
        <v>1.4194745525240373E-13</v>
      </c>
      <c r="AF13" s="1">
        <f t="shared" ref="AF13:AF17" si="29">($D$3*AB4)/$F$3</f>
        <v>2.4327734448879724E-11</v>
      </c>
      <c r="AG13" s="50">
        <f t="shared" ref="AG13:AG17" si="30">$D$3/$F$3</f>
        <v>1.7040000000000001E-9</v>
      </c>
      <c r="AH13" s="50">
        <f t="shared" ref="AH13:AH17" si="31">($D$3*AB4)/($F$3^2)</f>
        <v>1.9462187559103779E-10</v>
      </c>
      <c r="AI13" s="1">
        <f t="shared" ref="AI13:AI17" si="32">SQRT((AG13*AC4)^2+(AH13*G4)^2)</f>
        <v>2.7169224760350294E-12</v>
      </c>
      <c r="AK13" s="1">
        <f t="shared" ref="AK13:AK17" si="33">($E$3*AD4)/$F$3</f>
        <v>2.4177137302656768E-11</v>
      </c>
      <c r="AL13" s="50">
        <f t="shared" ref="AL13:AL17" si="34">$E$3/$F$3</f>
        <v>9.8400000000000012E-10</v>
      </c>
      <c r="AM13" s="50">
        <f t="shared" ref="AM13:AM17" si="35">($E$3*AD4)/($F$3^2)</f>
        <v>1.9341709842125414E-10</v>
      </c>
      <c r="AN13" s="1">
        <f t="shared" ref="AN13:AN17" si="36">SQRT((AL13*AE4)^2+(AM13*G4)^2)</f>
        <v>1.7505078547097955E-12</v>
      </c>
      <c r="AR13" s="50">
        <f t="shared" ref="AR13:AR18" si="37">($A$3)/(SQRT(2*$C$3*$B$3*O4*10^3))</f>
        <v>2.1680353767128075E-11</v>
      </c>
      <c r="AS13" s="50">
        <f t="shared" ref="AS13:AS17" si="38">($A$3)/SQRT(8*$B$3*$C$3)*(O4*10^3)^(-3/2)</f>
        <v>3.3875552761137574E-15</v>
      </c>
      <c r="AT13" s="50">
        <f t="shared" ref="AT13:AT17" si="39">AS13*(P4*10^3)</f>
        <v>1.6937776380568786E-13</v>
      </c>
      <c r="AV13" s="1">
        <f t="shared" ref="AV13:AV18" si="40">($D$3*AR4)/$F$3</f>
        <v>2.6807604981350498E-11</v>
      </c>
      <c r="AW13" s="50">
        <f t="shared" ref="AW13:AW18" si="41">$D$3/$F$3</f>
        <v>1.7040000000000001E-9</v>
      </c>
      <c r="AX13" s="50">
        <f t="shared" ref="AX13:AX18" si="42">($D$3*AR4)/($F$3^2)</f>
        <v>2.1446083985080399E-10</v>
      </c>
      <c r="AY13" s="1">
        <f t="shared" ref="AY13:AY18" si="43">SQRT((AW13*AS4)^2+(AX13*W4)^2)</f>
        <v>4.2136793498428473E-12</v>
      </c>
      <c r="BA13" s="1">
        <f t="shared" ref="BA13:BA18" si="44">($E$3*AT4)/$F$3</f>
        <v>2.7185592068381054E-11</v>
      </c>
      <c r="BB13" s="50">
        <f t="shared" ref="BB13:BB18" si="45">$E$3/$F$3</f>
        <v>9.8400000000000012E-10</v>
      </c>
      <c r="BC13" s="50">
        <f t="shared" ref="BC13:BC18" si="46">($E$3*AT4)/($F$3^2)</f>
        <v>2.1748473654704843E-10</v>
      </c>
      <c r="BD13" s="1">
        <f t="shared" ref="BD13:BD17" si="47">SQRT((BB13*AU4)^2+(BC13*W4)^2)</f>
        <v>3.6245604492897296E-12</v>
      </c>
      <c r="BH13" s="50">
        <f t="shared" ref="BH13:BH16" si="48">($A$3)/(SQRT(2*$C$3*$B$3*U4*10^3))</f>
        <v>1.9895257080236344E-11</v>
      </c>
      <c r="BI13" s="50">
        <f t="shared" ref="BI13:BI16" si="49">($A$3)/SQRT(8*$B$3*$C$3)*(U4*10^3)^(-3/2)</f>
        <v>2.6177969842416209E-15</v>
      </c>
      <c r="BJ13" s="50">
        <f t="shared" ref="BJ13:BJ16" si="50">BI13*(V4*10^3)</f>
        <v>1.3088984921208103E-13</v>
      </c>
      <c r="BL13" s="22">
        <f t="shared" ref="BL13:BL16" si="51">($D$3*BH4)/$F$3</f>
        <v>2.5283307346650445E-11</v>
      </c>
      <c r="BM13" s="50">
        <f t="shared" ref="BM13:BM16" si="52">$D$3/$F$3</f>
        <v>1.7040000000000001E-9</v>
      </c>
      <c r="BN13" s="50">
        <f t="shared" ref="BN13:BN16" si="53">($D$3*BH4)/($F$3^2)</f>
        <v>2.0226645877320356E-10</v>
      </c>
      <c r="BO13" s="22">
        <f t="shared" ref="BO13:BO16" si="54">SQRT((BM13*BI4)^2+(BN13*AM4)^2)</f>
        <v>5.112744965298272E-12</v>
      </c>
      <c r="BQ13" s="22">
        <f t="shared" ref="BQ13:BQ16" si="55">($E$3*BJ4)/$F$3</f>
        <v>2.4650846668149935E-11</v>
      </c>
      <c r="BR13" s="50">
        <f t="shared" ref="BR13:BR16" si="56">$E$3/$F$3</f>
        <v>9.8400000000000012E-10</v>
      </c>
      <c r="BS13" s="50">
        <f t="shared" ref="BS13:BS16" si="57">($E$3*BJ4)/($F$3^2)</f>
        <v>1.9720677334519948E-10</v>
      </c>
      <c r="BT13" s="22">
        <f t="shared" ref="BT13:BT16" si="58">SQRT((BR13*BK4)^2+(BS13*AM4)^2)</f>
        <v>4.8866036900283695E-12</v>
      </c>
    </row>
    <row r="14" spans="1:72">
      <c r="A14" s="67">
        <v>3600</v>
      </c>
      <c r="B14" s="70" t="s">
        <v>86</v>
      </c>
      <c r="C14" s="67">
        <v>14.276839465305001</v>
      </c>
      <c r="D14" s="67">
        <v>1.5944380727905101</v>
      </c>
      <c r="E14" s="67">
        <v>24.570261486439801</v>
      </c>
      <c r="F14" s="67">
        <v>1.7789713970628001</v>
      </c>
      <c r="AB14" s="50">
        <f t="shared" si="26"/>
        <v>1.9638533330119516E-11</v>
      </c>
      <c r="AC14" s="50">
        <f t="shared" si="27"/>
        <v>2.5177606833486581E-15</v>
      </c>
      <c r="AD14" s="50">
        <f t="shared" si="28"/>
        <v>1.2588803416743291E-13</v>
      </c>
      <c r="AF14" s="1">
        <f t="shared" si="29"/>
        <v>2.3674067261908316E-11</v>
      </c>
      <c r="AG14" s="50">
        <f t="shared" si="30"/>
        <v>1.7040000000000001E-9</v>
      </c>
      <c r="AH14" s="50">
        <f t="shared" si="31"/>
        <v>1.8939253809526653E-10</v>
      </c>
      <c r="AI14" s="1">
        <f t="shared" si="32"/>
        <v>2.7001474234302577E-12</v>
      </c>
      <c r="AK14" s="1">
        <f t="shared" si="33"/>
        <v>2.3207290010348055E-11</v>
      </c>
      <c r="AL14" s="50">
        <f t="shared" si="34"/>
        <v>9.8400000000000012E-10</v>
      </c>
      <c r="AM14" s="50">
        <f t="shared" si="35"/>
        <v>1.8565832008278444E-10</v>
      </c>
      <c r="AN14" s="1">
        <f t="shared" si="36"/>
        <v>1.6783379809337922E-12</v>
      </c>
      <c r="AR14" s="50">
        <f t="shared" si="37"/>
        <v>2.0440433556346103E-11</v>
      </c>
      <c r="AS14" s="50">
        <f t="shared" si="38"/>
        <v>2.8389491050480746E-15</v>
      </c>
      <c r="AT14" s="50">
        <f t="shared" si="39"/>
        <v>1.4194745525240373E-13</v>
      </c>
      <c r="AV14" s="1">
        <f t="shared" si="40"/>
        <v>2.4892388903797864E-11</v>
      </c>
      <c r="AW14" s="50">
        <f t="shared" si="41"/>
        <v>1.7040000000000001E-9</v>
      </c>
      <c r="AX14" s="50">
        <f t="shared" si="42"/>
        <v>1.9913911123038291E-10</v>
      </c>
      <c r="AY14" s="1">
        <f t="shared" si="43"/>
        <v>3.9853698544285529E-12</v>
      </c>
      <c r="BA14" s="1">
        <f t="shared" si="44"/>
        <v>2.4875955336248612E-11</v>
      </c>
      <c r="BB14" s="50">
        <f t="shared" si="45"/>
        <v>9.8400000000000012E-10</v>
      </c>
      <c r="BC14" s="50">
        <f t="shared" si="46"/>
        <v>1.990076426899889E-10</v>
      </c>
      <c r="BD14" s="1">
        <f t="shared" si="47"/>
        <v>3.3118567217586101E-12</v>
      </c>
      <c r="BH14" s="50">
        <f t="shared" si="48"/>
        <v>1.9153556418772018E-11</v>
      </c>
      <c r="BI14" s="50">
        <f t="shared" si="49"/>
        <v>2.335799563264881E-15</v>
      </c>
      <c r="BJ14" s="50">
        <f t="shared" si="50"/>
        <v>1.1678997816324404E-13</v>
      </c>
      <c r="BL14" s="22">
        <f t="shared" si="51"/>
        <v>2.4107779909963639E-11</v>
      </c>
      <c r="BM14" s="50">
        <f t="shared" si="52"/>
        <v>1.7040000000000001E-9</v>
      </c>
      <c r="BN14" s="50">
        <f t="shared" si="53"/>
        <v>1.9286223927970911E-10</v>
      </c>
      <c r="BO14" s="22">
        <f t="shared" si="54"/>
        <v>4.7696462759186118E-12</v>
      </c>
      <c r="BQ14" s="22">
        <f t="shared" si="55"/>
        <v>2.3607605538455469E-11</v>
      </c>
      <c r="BR14" s="50">
        <f t="shared" si="56"/>
        <v>9.8400000000000012E-10</v>
      </c>
      <c r="BS14" s="50">
        <f t="shared" si="57"/>
        <v>1.8886084430764375E-10</v>
      </c>
      <c r="BT14" s="22">
        <f t="shared" si="58"/>
        <v>4.5067577430882929E-12</v>
      </c>
    </row>
    <row r="15" spans="1:72">
      <c r="A15" s="67">
        <v>3600</v>
      </c>
      <c r="B15" s="69" t="s">
        <v>84</v>
      </c>
      <c r="C15" s="67">
        <v>14.608209450585599</v>
      </c>
      <c r="D15" s="67">
        <v>1.65422061844574</v>
      </c>
      <c r="E15" s="67">
        <v>25.280442414886799</v>
      </c>
      <c r="F15" s="67">
        <v>1.7722852073505899</v>
      </c>
      <c r="AB15" s="50">
        <f t="shared" si="26"/>
        <v>1.9271425570780514E-11</v>
      </c>
      <c r="AC15" s="50">
        <f t="shared" si="27"/>
        <v>2.3791883420716669E-15</v>
      </c>
      <c r="AD15" s="50">
        <f t="shared" si="28"/>
        <v>1.1895941710358335E-13</v>
      </c>
      <c r="AF15" s="1">
        <f t="shared" si="29"/>
        <v>2.4201888511290045E-11</v>
      </c>
      <c r="AG15" s="50">
        <f t="shared" si="30"/>
        <v>1.7040000000000001E-9</v>
      </c>
      <c r="AH15" s="50">
        <f t="shared" si="31"/>
        <v>1.9361510809032036E-10</v>
      </c>
      <c r="AI15" s="1">
        <f t="shared" si="32"/>
        <v>2.7139615662387711E-12</v>
      </c>
      <c r="AK15" s="1">
        <f t="shared" si="33"/>
        <v>2.3723908943302832E-11</v>
      </c>
      <c r="AL15" s="50">
        <f t="shared" si="34"/>
        <v>9.8400000000000012E-10</v>
      </c>
      <c r="AM15" s="50">
        <f t="shared" si="35"/>
        <v>1.8979127154642265E-10</v>
      </c>
      <c r="AN15" s="1">
        <f t="shared" si="36"/>
        <v>1.7197649813853617E-12</v>
      </c>
      <c r="AR15" s="50">
        <f t="shared" si="37"/>
        <v>2.0027452933724342E-11</v>
      </c>
      <c r="AS15" s="50">
        <f t="shared" si="38"/>
        <v>2.6703270578299118E-15</v>
      </c>
      <c r="AT15" s="50">
        <f t="shared" si="39"/>
        <v>1.3351635289149559E-13</v>
      </c>
      <c r="AV15" s="1">
        <f t="shared" si="40"/>
        <v>2.5137816933931016E-11</v>
      </c>
      <c r="AW15" s="50">
        <f t="shared" si="41"/>
        <v>1.7040000000000001E-9</v>
      </c>
      <c r="AX15" s="50">
        <f t="shared" si="42"/>
        <v>2.0110253547144813E-10</v>
      </c>
      <c r="AY15" s="1">
        <f t="shared" si="43"/>
        <v>3.9091648303945256E-12</v>
      </c>
      <c r="BA15" s="1">
        <f t="shared" si="44"/>
        <v>2.5177166829034537E-11</v>
      </c>
      <c r="BB15" s="50">
        <f t="shared" si="45"/>
        <v>9.8400000000000012E-10</v>
      </c>
      <c r="BC15" s="50">
        <f t="shared" si="46"/>
        <v>2.014173346322763E-10</v>
      </c>
      <c r="BD15" s="1">
        <f t="shared" si="47"/>
        <v>3.3084139899576662E-12</v>
      </c>
      <c r="BH15" s="50">
        <f t="shared" si="48"/>
        <v>1.8595023226764655E-11</v>
      </c>
      <c r="BI15" s="50">
        <f t="shared" si="49"/>
        <v>2.1373589915821413E-15</v>
      </c>
      <c r="BJ15" s="50">
        <f t="shared" si="50"/>
        <v>1.0686794957910707E-13</v>
      </c>
      <c r="BL15" s="22">
        <f t="shared" si="51"/>
        <v>2.4360023949956137E-11</v>
      </c>
      <c r="BM15" s="50">
        <f t="shared" si="52"/>
        <v>1.7040000000000001E-9</v>
      </c>
      <c r="BN15" s="50">
        <f t="shared" si="53"/>
        <v>1.9488019159964909E-10</v>
      </c>
      <c r="BO15" s="22">
        <f t="shared" si="54"/>
        <v>4.9027311987591696E-12</v>
      </c>
      <c r="BQ15" s="22">
        <f t="shared" si="55"/>
        <v>2.3621750542686966E-11</v>
      </c>
      <c r="BR15" s="50">
        <f t="shared" si="56"/>
        <v>9.8400000000000012E-10</v>
      </c>
      <c r="BS15" s="50">
        <f t="shared" si="57"/>
        <v>1.8897400434149573E-10</v>
      </c>
      <c r="BT15" s="22">
        <f t="shared" si="58"/>
        <v>4.6031565596175437E-12</v>
      </c>
    </row>
    <row r="16" spans="1:72">
      <c r="A16" s="67">
        <v>3750</v>
      </c>
      <c r="B16" s="69" t="s">
        <v>84</v>
      </c>
      <c r="C16" s="67">
        <v>14.752239984701299</v>
      </c>
      <c r="D16" s="67">
        <v>1.5544896639771899</v>
      </c>
      <c r="E16" s="67">
        <v>25.5865516555229</v>
      </c>
      <c r="F16" s="67">
        <v>1.6557699404670601</v>
      </c>
      <c r="AB16" s="50">
        <f t="shared" si="26"/>
        <v>1.8595023226764655E-11</v>
      </c>
      <c r="AC16" s="50">
        <f t="shared" si="27"/>
        <v>2.1373589915821413E-15</v>
      </c>
      <c r="AD16" s="50">
        <f t="shared" si="28"/>
        <v>1.0686794957910707E-13</v>
      </c>
      <c r="AF16" s="1">
        <f t="shared" si="29"/>
        <v>2.1689400906999562E-11</v>
      </c>
      <c r="AG16" s="50">
        <f t="shared" si="30"/>
        <v>1.7040000000000001E-9</v>
      </c>
      <c r="AH16" s="50">
        <f t="shared" si="31"/>
        <v>1.7351520725599649E-10</v>
      </c>
      <c r="AI16" s="1">
        <f t="shared" si="32"/>
        <v>2.5966063620049636E-12</v>
      </c>
      <c r="AK16" s="1">
        <f t="shared" si="33"/>
        <v>2.1002789783918323E-11</v>
      </c>
      <c r="AL16" s="50">
        <f t="shared" si="34"/>
        <v>9.8400000000000012E-10</v>
      </c>
      <c r="AM16" s="50">
        <f t="shared" si="35"/>
        <v>1.6802231827134658E-10</v>
      </c>
      <c r="AN16" s="1">
        <f t="shared" si="36"/>
        <v>1.6491347440680233E-12</v>
      </c>
      <c r="AR16" s="50">
        <f t="shared" si="37"/>
        <v>1.939149791981681E-11</v>
      </c>
      <c r="AS16" s="50">
        <f t="shared" si="38"/>
        <v>2.4239372399771015E-15</v>
      </c>
      <c r="AT16" s="50">
        <f t="shared" si="39"/>
        <v>1.2119686199885508E-13</v>
      </c>
      <c r="AV16" s="1">
        <f t="shared" si="40"/>
        <v>2.4128368674025288E-11</v>
      </c>
      <c r="AW16" s="50">
        <f t="shared" si="41"/>
        <v>1.7040000000000001E-9</v>
      </c>
      <c r="AX16" s="50">
        <f t="shared" si="42"/>
        <v>1.9302694939220231E-10</v>
      </c>
      <c r="AY16" s="1">
        <f t="shared" si="43"/>
        <v>3.6033686243128684E-12</v>
      </c>
      <c r="BA16" s="1">
        <f t="shared" si="44"/>
        <v>2.3918751436287295E-11</v>
      </c>
      <c r="BB16" s="50">
        <f t="shared" si="45"/>
        <v>9.8400000000000012E-10</v>
      </c>
      <c r="BC16" s="50">
        <f t="shared" si="46"/>
        <v>1.9135001149029836E-10</v>
      </c>
      <c r="BD16" s="1">
        <f t="shared" si="47"/>
        <v>3.121206017339727E-12</v>
      </c>
      <c r="BH16" s="50">
        <f t="shared" si="48"/>
        <v>1.8282479568623062E-11</v>
      </c>
      <c r="BI16" s="50">
        <f t="shared" si="49"/>
        <v>2.0313866187358948E-15</v>
      </c>
      <c r="BJ16" s="50">
        <f t="shared" si="50"/>
        <v>1.0156933093679474E-13</v>
      </c>
      <c r="BL16" s="22">
        <f t="shared" si="51"/>
        <v>2.3613389661498492E-11</v>
      </c>
      <c r="BM16" s="50">
        <f t="shared" si="52"/>
        <v>1.7040000000000001E-9</v>
      </c>
      <c r="BN16" s="50">
        <f t="shared" si="53"/>
        <v>1.8890711729198794E-10</v>
      </c>
      <c r="BO16" s="22">
        <f t="shared" si="54"/>
        <v>4.2919270821457425E-12</v>
      </c>
      <c r="BQ16" s="22">
        <f t="shared" si="55"/>
        <v>2.2594036995666905E-11</v>
      </c>
      <c r="BR16" s="50">
        <f t="shared" si="56"/>
        <v>9.8400000000000012E-10</v>
      </c>
      <c r="BS16" s="50">
        <f t="shared" si="57"/>
        <v>1.8075229596533524E-10</v>
      </c>
      <c r="BT16" s="22">
        <f t="shared" si="58"/>
        <v>3.9344783070420396E-12</v>
      </c>
    </row>
    <row r="17" spans="1:71">
      <c r="A17" s="67">
        <v>3800</v>
      </c>
      <c r="B17" s="68" t="s">
        <v>85</v>
      </c>
      <c r="C17" s="67">
        <v>14.837621682306599</v>
      </c>
      <c r="D17" s="67">
        <v>0.87554886606265003</v>
      </c>
      <c r="E17" s="67">
        <v>25.0516734432418</v>
      </c>
      <c r="F17" s="67">
        <v>1.08795415484975</v>
      </c>
      <c r="AB17" s="50">
        <f t="shared" si="26"/>
        <v>1.8282479568623062E-11</v>
      </c>
      <c r="AC17" s="50">
        <f t="shared" si="27"/>
        <v>2.0313866187358948E-15</v>
      </c>
      <c r="AD17" s="50">
        <f t="shared" si="28"/>
        <v>1.0156933093679474E-13</v>
      </c>
      <c r="AF17" s="1">
        <f t="shared" si="29"/>
        <v>2.1560562301079612E-11</v>
      </c>
      <c r="AG17" s="50">
        <f t="shared" si="30"/>
        <v>1.7040000000000001E-9</v>
      </c>
      <c r="AH17" s="50">
        <f t="shared" si="31"/>
        <v>1.724844984086369E-10</v>
      </c>
      <c r="AI17" s="1">
        <f t="shared" si="32"/>
        <v>2.1760883981177757E-12</v>
      </c>
      <c r="AK17" s="1">
        <f t="shared" si="33"/>
        <v>2.1212756352045666E-11</v>
      </c>
      <c r="AL17" s="50">
        <f t="shared" si="34"/>
        <v>9.8400000000000012E-10</v>
      </c>
      <c r="AM17" s="50">
        <f t="shared" si="35"/>
        <v>1.6970205081636533E-10</v>
      </c>
      <c r="AN17" s="1">
        <f t="shared" si="36"/>
        <v>1.392536252292761E-12</v>
      </c>
      <c r="AR17" s="50">
        <f t="shared" si="37"/>
        <v>1.8924164234530555E-11</v>
      </c>
      <c r="AS17" s="50">
        <f t="shared" si="38"/>
        <v>2.2528766945869704E-15</v>
      </c>
      <c r="AT17" s="50">
        <f t="shared" si="39"/>
        <v>1.1264383472934852E-13</v>
      </c>
      <c r="AV17" s="1">
        <f t="shared" si="40"/>
        <v>2.3853601450756169E-11</v>
      </c>
      <c r="AW17" s="50">
        <f t="shared" si="41"/>
        <v>1.7040000000000001E-9</v>
      </c>
      <c r="AX17" s="50">
        <f t="shared" si="42"/>
        <v>1.9082881160604935E-10</v>
      </c>
      <c r="AY17" s="1">
        <f t="shared" si="43"/>
        <v>2.4796314728046389E-12</v>
      </c>
      <c r="BA17" s="1">
        <f t="shared" si="44"/>
        <v>2.3207851058447629E-11</v>
      </c>
      <c r="BB17" s="50">
        <f t="shared" si="45"/>
        <v>9.8400000000000012E-10</v>
      </c>
      <c r="BC17" s="50">
        <f t="shared" si="46"/>
        <v>1.8566280846758103E-10</v>
      </c>
      <c r="BD17" s="1">
        <f t="shared" si="47"/>
        <v>1.552133137270982E-12</v>
      </c>
      <c r="BH17" s="27"/>
      <c r="BI17" s="27"/>
      <c r="BJ17" s="27"/>
      <c r="BM17" s="27"/>
      <c r="BN17" s="27"/>
      <c r="BR17" s="27"/>
      <c r="BS17" s="27"/>
    </row>
    <row r="18" spans="1:71">
      <c r="A18" s="67">
        <v>3900</v>
      </c>
      <c r="B18" s="70" t="s">
        <v>86</v>
      </c>
      <c r="C18" s="67">
        <v>13.8932319612138</v>
      </c>
      <c r="D18" s="67">
        <v>1.5845935583510899</v>
      </c>
      <c r="E18" s="67">
        <v>23.5846443194594</v>
      </c>
      <c r="F18" s="67">
        <v>1.7056280294042601</v>
      </c>
      <c r="AR18" s="50">
        <f t="shared" si="37"/>
        <v>1.8181748887077827E-11</v>
      </c>
      <c r="AS18" s="50">
        <f>($A$3)/SQRT(8*$B$3*$C$3)*(O9*10^3)^(-3/2)</f>
        <v>1.997994383195367E-15</v>
      </c>
      <c r="AT18" s="50">
        <f>AS18*(P9*10^3)</f>
        <v>9.9899719159768355E-14</v>
      </c>
      <c r="AV18" s="1">
        <f t="shared" si="40"/>
        <v>2.0421794413363857E-11</v>
      </c>
      <c r="AW18" s="50">
        <f t="shared" si="41"/>
        <v>1.7040000000000001E-9</v>
      </c>
      <c r="AX18" s="50">
        <f t="shared" si="42"/>
        <v>1.6337435530691085E-10</v>
      </c>
      <c r="AY18" s="1">
        <f t="shared" si="43"/>
        <v>3.2459260978402183E-12</v>
      </c>
      <c r="BA18" s="1">
        <f t="shared" si="44"/>
        <v>1.9697537279304226E-11</v>
      </c>
      <c r="BB18" s="50">
        <f t="shared" si="45"/>
        <v>9.8400000000000012E-10</v>
      </c>
      <c r="BC18" s="50">
        <f t="shared" si="46"/>
        <v>1.5758029823443381E-10</v>
      </c>
      <c r="BD18" s="1">
        <f>SQRT((BB18*AU9)^2+(BC18*W9)^2)</f>
        <v>1.4794459496423484E-12</v>
      </c>
    </row>
    <row r="19" spans="1:71">
      <c r="A19" s="67">
        <v>4000</v>
      </c>
      <c r="B19" s="69" t="s">
        <v>84</v>
      </c>
      <c r="C19" s="67">
        <v>14.159840771141599</v>
      </c>
      <c r="D19" s="67">
        <v>1.41688638932538</v>
      </c>
      <c r="E19" s="67">
        <v>24.307674223869199</v>
      </c>
      <c r="F19" s="67">
        <v>1.67317466996315</v>
      </c>
    </row>
    <row r="20" spans="1:71">
      <c r="A20" s="67">
        <v>4050</v>
      </c>
      <c r="B20" s="70" t="s">
        <v>86</v>
      </c>
      <c r="C20" s="67">
        <v>14.202986215545801</v>
      </c>
      <c r="D20" s="67">
        <v>1.5927004496706401</v>
      </c>
      <c r="E20" s="67">
        <v>24.109663560267101</v>
      </c>
      <c r="F20" s="67">
        <v>1.7477286396192699</v>
      </c>
    </row>
    <row r="21" spans="1:71">
      <c r="A21" s="67">
        <v>4100</v>
      </c>
      <c r="B21" s="68" t="s">
        <v>85</v>
      </c>
      <c r="C21" s="67">
        <v>14.1477581631242</v>
      </c>
      <c r="D21" s="67">
        <v>0.96726917441917404</v>
      </c>
      <c r="E21" s="67">
        <v>23.991469043145798</v>
      </c>
      <c r="F21" s="67">
        <v>1.0661672525943</v>
      </c>
    </row>
    <row r="22" spans="1:71">
      <c r="A22" s="67">
        <v>4200</v>
      </c>
      <c r="B22" s="69" t="s">
        <v>84</v>
      </c>
      <c r="C22" s="67">
        <v>13.998592400678501</v>
      </c>
      <c r="D22" s="67">
        <v>1.4551827892046001</v>
      </c>
      <c r="E22" s="67">
        <v>23.585214490292302</v>
      </c>
      <c r="F22" s="67">
        <v>1.5773710744623799</v>
      </c>
    </row>
    <row r="23" spans="1:71">
      <c r="A23" s="67">
        <v>4350</v>
      </c>
      <c r="B23" s="70" t="s">
        <v>86</v>
      </c>
      <c r="C23" s="67">
        <v>12.7285216590373</v>
      </c>
      <c r="D23" s="67">
        <v>1.5238300246508001</v>
      </c>
      <c r="E23" s="67">
        <v>21.3442985608926</v>
      </c>
      <c r="F23" s="67">
        <v>1.6759499431585601</v>
      </c>
    </row>
    <row r="24" spans="1:71">
      <c r="A24" s="67">
        <v>4350</v>
      </c>
      <c r="B24" s="68" t="s">
        <v>85</v>
      </c>
      <c r="C24" s="67">
        <v>14.295788703025901</v>
      </c>
      <c r="D24" s="67">
        <v>0.95743396407127301</v>
      </c>
      <c r="E24" s="67">
        <v>24.0058440474461</v>
      </c>
      <c r="F24" s="67">
        <v>1.0609821789779801</v>
      </c>
    </row>
    <row r="25" spans="1:71">
      <c r="A25" s="67">
        <v>4500</v>
      </c>
      <c r="B25" s="70" t="s">
        <v>86</v>
      </c>
      <c r="C25" s="67">
        <v>12.652912148520899</v>
      </c>
      <c r="D25" s="67">
        <v>1.2770471819939999</v>
      </c>
      <c r="E25" s="67">
        <v>21.557679219558601</v>
      </c>
      <c r="F25" s="67">
        <v>1.4151791181836999</v>
      </c>
    </row>
    <row r="26" spans="1:71">
      <c r="A26" s="67">
        <v>4500</v>
      </c>
      <c r="B26" s="68" t="s">
        <v>85</v>
      </c>
      <c r="C26" s="67">
        <v>13.8576230407855</v>
      </c>
      <c r="D26" s="67">
        <v>0.96053842000012601</v>
      </c>
      <c r="E26" s="67">
        <v>22.9614197110436</v>
      </c>
      <c r="F26" s="67">
        <v>1.05034657780143</v>
      </c>
    </row>
    <row r="27" spans="1:71">
      <c r="A27" s="67">
        <v>4550</v>
      </c>
      <c r="B27" s="69" t="s">
        <v>84</v>
      </c>
      <c r="C27" s="67">
        <v>11.9846211346032</v>
      </c>
      <c r="D27" s="67">
        <v>1.90488620765271</v>
      </c>
      <c r="E27" s="67">
        <v>20.0178224383173</v>
      </c>
      <c r="F27" s="67">
        <v>1.5035019813438499</v>
      </c>
    </row>
    <row r="28" spans="1:71">
      <c r="A28" s="91" t="s">
        <v>94</v>
      </c>
      <c r="B28" s="91"/>
      <c r="C28" s="91"/>
      <c r="D28" s="91"/>
      <c r="E28" s="91"/>
      <c r="F28" s="91"/>
    </row>
  </sheetData>
  <mergeCells count="9">
    <mergeCell ref="A8:F8"/>
    <mergeCell ref="A28:F28"/>
    <mergeCell ref="AB1:AN1"/>
    <mergeCell ref="AR1:BD1"/>
    <mergeCell ref="BH1:BT1"/>
    <mergeCell ref="A1:G1"/>
    <mergeCell ref="I1:L1"/>
    <mergeCell ref="O1:R1"/>
    <mergeCell ref="U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1°parte</vt:lpstr>
      <vt:lpstr>OBSOLETO_2°parte</vt:lpstr>
      <vt:lpstr>OBSOLETO_2° PARTE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CARMELO SIMONE PALAZZO</dc:creator>
  <cp:keywords/>
  <dc:description/>
  <cp:lastModifiedBy>VINCENZO OLIVERI</cp:lastModifiedBy>
  <cp:revision/>
  <dcterms:created xsi:type="dcterms:W3CDTF">2026-03-20T17:50:07Z</dcterms:created>
  <dcterms:modified xsi:type="dcterms:W3CDTF">2026-06-01T17:33:21Z</dcterms:modified>
  <cp:category/>
  <cp:contentStatus/>
</cp:coreProperties>
</file>